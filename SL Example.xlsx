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wyo\Documents\"/>
    </mc:Choice>
  </mc:AlternateContent>
  <xr:revisionPtr revIDLastSave="0" documentId="13_ncr:1_{ED2EA146-BB4D-41D2-A1B0-CE3A97F60BD7}" xr6:coauthVersionLast="47" xr6:coauthVersionMax="47" xr10:uidLastSave="{00000000-0000-0000-0000-000000000000}"/>
  <bookViews>
    <workbookView xWindow="-240" yWindow="-240" windowWidth="38880" windowHeight="21360" xr2:uid="{9773D52C-58D5-47AB-9656-2A0880421FD5}"/>
  </bookViews>
  <sheets>
    <sheet name="Single Life" sheetId="2" r:id="rId1"/>
    <sheet name="Mortality" sheetId="3" r:id="rId2"/>
  </sheets>
  <definedNames>
    <definedName name="Mort_Age_Range">Mortality!$A$2:$A$122</definedName>
    <definedName name="Mort_Start">Mortality!$B$1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8" i="2" l="1"/>
  <c r="C24" i="2"/>
  <c r="C26" i="2"/>
  <c r="C28" i="2"/>
  <c r="C34" i="2"/>
  <c r="C35" i="2"/>
  <c r="C36" i="2"/>
  <c r="C40" i="2"/>
  <c r="C42" i="2"/>
  <c r="C44" i="2"/>
  <c r="C50" i="2"/>
  <c r="C51" i="2"/>
  <c r="C52" i="2"/>
  <c r="C56" i="2"/>
  <c r="C58" i="2"/>
  <c r="C60" i="2"/>
  <c r="C66" i="2"/>
  <c r="C67" i="2"/>
  <c r="C68" i="2"/>
  <c r="C72" i="2"/>
  <c r="C73" i="2"/>
  <c r="C74" i="2"/>
  <c r="C76" i="2"/>
  <c r="C82" i="2"/>
  <c r="C83" i="2"/>
  <c r="C84" i="2"/>
  <c r="C88" i="2"/>
  <c r="C89" i="2"/>
  <c r="C90" i="2"/>
  <c r="C92" i="2"/>
  <c r="C98" i="2"/>
  <c r="C99" i="2"/>
  <c r="C100" i="2"/>
  <c r="C104" i="2"/>
  <c r="C105" i="2"/>
  <c r="C106" i="2"/>
  <c r="C108" i="2"/>
  <c r="C113" i="2"/>
  <c r="C114" i="2"/>
  <c r="C115" i="2"/>
  <c r="C116" i="2"/>
  <c r="C120" i="2"/>
  <c r="C121" i="2"/>
  <c r="C122" i="2"/>
  <c r="C124" i="2"/>
  <c r="C129" i="2"/>
  <c r="C130" i="2"/>
  <c r="C131" i="2"/>
  <c r="C132" i="2"/>
  <c r="C136" i="2"/>
  <c r="C137" i="2"/>
  <c r="C138" i="2"/>
  <c r="C140" i="2"/>
  <c r="A3" i="3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D142" i="2"/>
  <c r="B142" i="2"/>
  <c r="C142" i="2" s="1"/>
  <c r="D141" i="2"/>
  <c r="G141" i="2" s="1"/>
  <c r="B141" i="2"/>
  <c r="C141" i="2" s="1"/>
  <c r="D140" i="2"/>
  <c r="B140" i="2"/>
  <c r="D139" i="2"/>
  <c r="G139" i="2" s="1"/>
  <c r="B139" i="2"/>
  <c r="C139" i="2" s="1"/>
  <c r="D138" i="2"/>
  <c r="B138" i="2"/>
  <c r="D137" i="2"/>
  <c r="G137" i="2" s="1"/>
  <c r="B137" i="2"/>
  <c r="D136" i="2"/>
  <c r="B136" i="2"/>
  <c r="D135" i="2"/>
  <c r="G135" i="2" s="1"/>
  <c r="B135" i="2"/>
  <c r="C135" i="2" s="1"/>
  <c r="D134" i="2"/>
  <c r="B134" i="2"/>
  <c r="C134" i="2" s="1"/>
  <c r="D133" i="2"/>
  <c r="G133" i="2" s="1"/>
  <c r="B133" i="2"/>
  <c r="C133" i="2" s="1"/>
  <c r="D132" i="2"/>
  <c r="B132" i="2"/>
  <c r="D131" i="2"/>
  <c r="G131" i="2" s="1"/>
  <c r="B131" i="2"/>
  <c r="D130" i="2"/>
  <c r="B130" i="2"/>
  <c r="D129" i="2"/>
  <c r="G129" i="2" s="1"/>
  <c r="B129" i="2"/>
  <c r="D128" i="2"/>
  <c r="B128" i="2"/>
  <c r="C128" i="2" s="1"/>
  <c r="D127" i="2"/>
  <c r="G127" i="2" s="1"/>
  <c r="B127" i="2"/>
  <c r="C127" i="2" s="1"/>
  <c r="D126" i="2"/>
  <c r="G126" i="2" s="1"/>
  <c r="B126" i="2"/>
  <c r="C126" i="2" s="1"/>
  <c r="D125" i="2"/>
  <c r="G125" i="2" s="1"/>
  <c r="B125" i="2"/>
  <c r="C125" i="2" s="1"/>
  <c r="D124" i="2"/>
  <c r="G124" i="2" s="1"/>
  <c r="B124" i="2"/>
  <c r="D123" i="2"/>
  <c r="G123" i="2" s="1"/>
  <c r="B123" i="2"/>
  <c r="C123" i="2" s="1"/>
  <c r="D122" i="2"/>
  <c r="G122" i="2" s="1"/>
  <c r="B122" i="2"/>
  <c r="D121" i="2"/>
  <c r="G121" i="2" s="1"/>
  <c r="B121" i="2"/>
  <c r="D120" i="2"/>
  <c r="B120" i="2"/>
  <c r="D119" i="2"/>
  <c r="G119" i="2" s="1"/>
  <c r="B119" i="2"/>
  <c r="C119" i="2" s="1"/>
  <c r="D118" i="2"/>
  <c r="G118" i="2" s="1"/>
  <c r="B118" i="2"/>
  <c r="C118" i="2" s="1"/>
  <c r="D117" i="2"/>
  <c r="G117" i="2" s="1"/>
  <c r="B117" i="2"/>
  <c r="C117" i="2" s="1"/>
  <c r="D116" i="2"/>
  <c r="G116" i="2" s="1"/>
  <c r="B116" i="2"/>
  <c r="D115" i="2"/>
  <c r="G115" i="2" s="1"/>
  <c r="B115" i="2"/>
  <c r="D114" i="2"/>
  <c r="G114" i="2" s="1"/>
  <c r="B114" i="2"/>
  <c r="D113" i="2"/>
  <c r="B113" i="2"/>
  <c r="D112" i="2"/>
  <c r="G112" i="2" s="1"/>
  <c r="B112" i="2"/>
  <c r="C112" i="2" s="1"/>
  <c r="D111" i="2"/>
  <c r="G111" i="2" s="1"/>
  <c r="B111" i="2"/>
  <c r="C111" i="2" s="1"/>
  <c r="D110" i="2"/>
  <c r="G110" i="2" s="1"/>
  <c r="B110" i="2"/>
  <c r="C110" i="2" s="1"/>
  <c r="D109" i="2"/>
  <c r="G109" i="2" s="1"/>
  <c r="B109" i="2"/>
  <c r="C109" i="2" s="1"/>
  <c r="D108" i="2"/>
  <c r="G108" i="2" s="1"/>
  <c r="B108" i="2"/>
  <c r="D107" i="2"/>
  <c r="G107" i="2" s="1"/>
  <c r="B107" i="2"/>
  <c r="C107" i="2" s="1"/>
  <c r="D106" i="2"/>
  <c r="G106" i="2" s="1"/>
  <c r="B106" i="2"/>
  <c r="D105" i="2"/>
  <c r="B105" i="2"/>
  <c r="D104" i="2"/>
  <c r="G104" i="2" s="1"/>
  <c r="B104" i="2"/>
  <c r="D103" i="2"/>
  <c r="G103" i="2" s="1"/>
  <c r="B103" i="2"/>
  <c r="C103" i="2" s="1"/>
  <c r="D102" i="2"/>
  <c r="G102" i="2" s="1"/>
  <c r="B102" i="2"/>
  <c r="C102" i="2" s="1"/>
  <c r="D101" i="2"/>
  <c r="G101" i="2" s="1"/>
  <c r="B101" i="2"/>
  <c r="C101" i="2" s="1"/>
  <c r="D100" i="2"/>
  <c r="G100" i="2" s="1"/>
  <c r="B100" i="2"/>
  <c r="D99" i="2"/>
  <c r="G99" i="2" s="1"/>
  <c r="B99" i="2"/>
  <c r="D98" i="2"/>
  <c r="G98" i="2" s="1"/>
  <c r="B98" i="2"/>
  <c r="D97" i="2"/>
  <c r="G97" i="2" s="1"/>
  <c r="B97" i="2"/>
  <c r="C97" i="2" s="1"/>
  <c r="D96" i="2"/>
  <c r="B96" i="2"/>
  <c r="C96" i="2" s="1"/>
  <c r="D95" i="2"/>
  <c r="G95" i="2" s="1"/>
  <c r="B95" i="2"/>
  <c r="C95" i="2" s="1"/>
  <c r="D94" i="2"/>
  <c r="G94" i="2" s="1"/>
  <c r="B94" i="2"/>
  <c r="C94" i="2" s="1"/>
  <c r="D93" i="2"/>
  <c r="B93" i="2"/>
  <c r="C93" i="2" s="1"/>
  <c r="D92" i="2"/>
  <c r="G92" i="2" s="1"/>
  <c r="B92" i="2"/>
  <c r="D91" i="2"/>
  <c r="G91" i="2" s="1"/>
  <c r="B91" i="2"/>
  <c r="C91" i="2" s="1"/>
  <c r="D90" i="2"/>
  <c r="G90" i="2" s="1"/>
  <c r="B90" i="2"/>
  <c r="D89" i="2"/>
  <c r="G89" i="2" s="1"/>
  <c r="B89" i="2"/>
  <c r="D88" i="2"/>
  <c r="G88" i="2" s="1"/>
  <c r="B88" i="2"/>
  <c r="D87" i="2"/>
  <c r="G87" i="2" s="1"/>
  <c r="B87" i="2"/>
  <c r="C87" i="2" s="1"/>
  <c r="D86" i="2"/>
  <c r="G86" i="2" s="1"/>
  <c r="B86" i="2"/>
  <c r="C86" i="2" s="1"/>
  <c r="D85" i="2"/>
  <c r="G85" i="2" s="1"/>
  <c r="B85" i="2"/>
  <c r="C85" i="2" s="1"/>
  <c r="D84" i="2"/>
  <c r="G84" i="2" s="1"/>
  <c r="B84" i="2"/>
  <c r="D83" i="2"/>
  <c r="G83" i="2" s="1"/>
  <c r="B83" i="2"/>
  <c r="D82" i="2"/>
  <c r="G82" i="2" s="1"/>
  <c r="B82" i="2"/>
  <c r="D81" i="2"/>
  <c r="G81" i="2" s="1"/>
  <c r="B81" i="2"/>
  <c r="C81" i="2" s="1"/>
  <c r="D80" i="2"/>
  <c r="G80" i="2" s="1"/>
  <c r="B80" i="2"/>
  <c r="C80" i="2" s="1"/>
  <c r="D79" i="2"/>
  <c r="G79" i="2" s="1"/>
  <c r="B79" i="2"/>
  <c r="C79" i="2" s="1"/>
  <c r="D78" i="2"/>
  <c r="G78" i="2" s="1"/>
  <c r="B78" i="2"/>
  <c r="C78" i="2" s="1"/>
  <c r="D77" i="2"/>
  <c r="B77" i="2"/>
  <c r="C77" i="2" s="1"/>
  <c r="D76" i="2"/>
  <c r="B76" i="2"/>
  <c r="D75" i="2"/>
  <c r="G75" i="2" s="1"/>
  <c r="B75" i="2"/>
  <c r="C75" i="2" s="1"/>
  <c r="D74" i="2"/>
  <c r="G74" i="2" s="1"/>
  <c r="B74" i="2"/>
  <c r="D73" i="2"/>
  <c r="G73" i="2" s="1"/>
  <c r="B73" i="2"/>
  <c r="D72" i="2"/>
  <c r="B72" i="2"/>
  <c r="D71" i="2"/>
  <c r="G71" i="2" s="1"/>
  <c r="B71" i="2"/>
  <c r="C71" i="2" s="1"/>
  <c r="D70" i="2"/>
  <c r="G70" i="2" s="1"/>
  <c r="B70" i="2"/>
  <c r="C70" i="2" s="1"/>
  <c r="D69" i="2"/>
  <c r="G69" i="2" s="1"/>
  <c r="B69" i="2"/>
  <c r="C69" i="2" s="1"/>
  <c r="D68" i="2"/>
  <c r="G68" i="2" s="1"/>
  <c r="B68" i="2"/>
  <c r="D67" i="2"/>
  <c r="G67" i="2" s="1"/>
  <c r="B67" i="2"/>
  <c r="D66" i="2"/>
  <c r="G66" i="2" s="1"/>
  <c r="B66" i="2"/>
  <c r="D65" i="2"/>
  <c r="G65" i="2" s="1"/>
  <c r="B65" i="2"/>
  <c r="C65" i="2" s="1"/>
  <c r="D64" i="2"/>
  <c r="B64" i="2"/>
  <c r="C64" i="2" s="1"/>
  <c r="D63" i="2"/>
  <c r="G63" i="2" s="1"/>
  <c r="B63" i="2"/>
  <c r="C63" i="2" s="1"/>
  <c r="D62" i="2"/>
  <c r="G62" i="2" s="1"/>
  <c r="B62" i="2"/>
  <c r="C62" i="2" s="1"/>
  <c r="D61" i="2"/>
  <c r="G61" i="2" s="1"/>
  <c r="B61" i="2"/>
  <c r="C61" i="2" s="1"/>
  <c r="D60" i="2"/>
  <c r="B60" i="2"/>
  <c r="D59" i="2"/>
  <c r="G59" i="2" s="1"/>
  <c r="B59" i="2"/>
  <c r="C59" i="2" s="1"/>
  <c r="D58" i="2"/>
  <c r="G58" i="2" s="1"/>
  <c r="B58" i="2"/>
  <c r="D57" i="2"/>
  <c r="G57" i="2" s="1"/>
  <c r="B57" i="2"/>
  <c r="C57" i="2" s="1"/>
  <c r="D56" i="2"/>
  <c r="G56" i="2" s="1"/>
  <c r="B56" i="2"/>
  <c r="D55" i="2"/>
  <c r="G55" i="2" s="1"/>
  <c r="B55" i="2"/>
  <c r="C55" i="2" s="1"/>
  <c r="D54" i="2"/>
  <c r="G54" i="2" s="1"/>
  <c r="B54" i="2"/>
  <c r="C54" i="2" s="1"/>
  <c r="D53" i="2"/>
  <c r="G53" i="2" s="1"/>
  <c r="B53" i="2"/>
  <c r="C53" i="2" s="1"/>
  <c r="D52" i="2"/>
  <c r="G52" i="2" s="1"/>
  <c r="B52" i="2"/>
  <c r="D51" i="2"/>
  <c r="G51" i="2" s="1"/>
  <c r="B51" i="2"/>
  <c r="D50" i="2"/>
  <c r="G50" i="2" s="1"/>
  <c r="B50" i="2"/>
  <c r="D49" i="2"/>
  <c r="G49" i="2" s="1"/>
  <c r="B49" i="2"/>
  <c r="C49" i="2" s="1"/>
  <c r="D48" i="2"/>
  <c r="B48" i="2"/>
  <c r="C48" i="2" s="1"/>
  <c r="D47" i="2"/>
  <c r="G47" i="2" s="1"/>
  <c r="B47" i="2"/>
  <c r="C47" i="2" s="1"/>
  <c r="D46" i="2"/>
  <c r="G46" i="2" s="1"/>
  <c r="B46" i="2"/>
  <c r="C46" i="2" s="1"/>
  <c r="D45" i="2"/>
  <c r="G45" i="2" s="1"/>
  <c r="B45" i="2"/>
  <c r="C45" i="2" s="1"/>
  <c r="D44" i="2"/>
  <c r="G44" i="2" s="1"/>
  <c r="B44" i="2"/>
  <c r="D43" i="2"/>
  <c r="G43" i="2" s="1"/>
  <c r="B43" i="2"/>
  <c r="C43" i="2" s="1"/>
  <c r="D42" i="2"/>
  <c r="G42" i="2" s="1"/>
  <c r="B42" i="2"/>
  <c r="D41" i="2"/>
  <c r="B41" i="2"/>
  <c r="C41" i="2" s="1"/>
  <c r="D40" i="2"/>
  <c r="G40" i="2" s="1"/>
  <c r="B40" i="2"/>
  <c r="D39" i="2"/>
  <c r="G39" i="2" s="1"/>
  <c r="B39" i="2"/>
  <c r="C39" i="2" s="1"/>
  <c r="D38" i="2"/>
  <c r="G38" i="2" s="1"/>
  <c r="B38" i="2"/>
  <c r="C38" i="2" s="1"/>
  <c r="D37" i="2"/>
  <c r="G37" i="2" s="1"/>
  <c r="B37" i="2"/>
  <c r="C37" i="2" s="1"/>
  <c r="D36" i="2"/>
  <c r="G36" i="2" s="1"/>
  <c r="B36" i="2"/>
  <c r="D35" i="2"/>
  <c r="G35" i="2" s="1"/>
  <c r="B35" i="2"/>
  <c r="D34" i="2"/>
  <c r="G34" i="2" s="1"/>
  <c r="B34" i="2"/>
  <c r="D33" i="2"/>
  <c r="G33" i="2" s="1"/>
  <c r="B33" i="2"/>
  <c r="C33" i="2" s="1"/>
  <c r="D32" i="2"/>
  <c r="B32" i="2"/>
  <c r="C32" i="2" s="1"/>
  <c r="D31" i="2"/>
  <c r="G31" i="2" s="1"/>
  <c r="B31" i="2"/>
  <c r="C31" i="2" s="1"/>
  <c r="D30" i="2"/>
  <c r="G30" i="2" s="1"/>
  <c r="B30" i="2"/>
  <c r="C30" i="2" s="1"/>
  <c r="D29" i="2"/>
  <c r="B29" i="2"/>
  <c r="C29" i="2" s="1"/>
  <c r="G28" i="2"/>
  <c r="B28" i="2"/>
  <c r="D27" i="2"/>
  <c r="G27" i="2" s="1"/>
  <c r="B27" i="2"/>
  <c r="C27" i="2" s="1"/>
  <c r="D26" i="2"/>
  <c r="G26" i="2" s="1"/>
  <c r="B26" i="2"/>
  <c r="D25" i="2"/>
  <c r="B25" i="2"/>
  <c r="C25" i="2" s="1"/>
  <c r="D24" i="2"/>
  <c r="G24" i="2" s="1"/>
  <c r="B24" i="2"/>
  <c r="D23" i="2"/>
  <c r="G23" i="2" s="1"/>
  <c r="B23" i="2"/>
  <c r="C23" i="2" s="1"/>
  <c r="F22" i="2"/>
  <c r="D22" i="2"/>
  <c r="G22" i="2" s="1"/>
  <c r="B22" i="2"/>
  <c r="C22" i="2" s="1"/>
  <c r="B15" i="2"/>
  <c r="E124" i="2" s="1"/>
  <c r="K124" i="2" s="1"/>
  <c r="B16" i="2" l="1" a="1"/>
  <c r="B16" i="2" s="1"/>
  <c r="H71" i="2"/>
  <c r="H24" i="2"/>
  <c r="H136" i="2"/>
  <c r="H87" i="2"/>
  <c r="H56" i="2"/>
  <c r="H95" i="2"/>
  <c r="H80" i="2"/>
  <c r="H111" i="2"/>
  <c r="H72" i="2"/>
  <c r="H31" i="2"/>
  <c r="H55" i="2"/>
  <c r="H32" i="2"/>
  <c r="H40" i="2"/>
  <c r="H48" i="2"/>
  <c r="H88" i="2"/>
  <c r="H27" i="2"/>
  <c r="H43" i="2"/>
  <c r="H135" i="2"/>
  <c r="H47" i="2"/>
  <c r="H44" i="2"/>
  <c r="H28" i="2"/>
  <c r="H127" i="2"/>
  <c r="H60" i="2"/>
  <c r="H30" i="2"/>
  <c r="H38" i="2"/>
  <c r="H46" i="2"/>
  <c r="H54" i="2"/>
  <c r="H62" i="2"/>
  <c r="H70" i="2"/>
  <c r="H78" i="2"/>
  <c r="H86" i="2"/>
  <c r="H94" i="2"/>
  <c r="H102" i="2"/>
  <c r="H110" i="2"/>
  <c r="H118" i="2"/>
  <c r="H104" i="2"/>
  <c r="H25" i="2"/>
  <c r="H33" i="2"/>
  <c r="H41" i="2"/>
  <c r="H49" i="2"/>
  <c r="H57" i="2"/>
  <c r="H65" i="2"/>
  <c r="H73" i="2"/>
  <c r="H81" i="2"/>
  <c r="H89" i="2"/>
  <c r="H105" i="2"/>
  <c r="H121" i="2"/>
  <c r="H137" i="2"/>
  <c r="H120" i="2"/>
  <c r="H26" i="2"/>
  <c r="H42" i="2"/>
  <c r="H58" i="2"/>
  <c r="H74" i="2"/>
  <c r="H90" i="2"/>
  <c r="H106" i="2"/>
  <c r="H122" i="2"/>
  <c r="H138" i="2"/>
  <c r="H91" i="2"/>
  <c r="H123" i="2"/>
  <c r="H139" i="2"/>
  <c r="H59" i="2"/>
  <c r="H75" i="2"/>
  <c r="H107" i="2"/>
  <c r="H140" i="2"/>
  <c r="H76" i="2"/>
  <c r="H108" i="2"/>
  <c r="H29" i="2"/>
  <c r="H45" i="2"/>
  <c r="H61" i="2"/>
  <c r="H69" i="2"/>
  <c r="H77" i="2"/>
  <c r="H85" i="2"/>
  <c r="H93" i="2"/>
  <c r="H109" i="2"/>
  <c r="H125" i="2"/>
  <c r="H141" i="2"/>
  <c r="H92" i="2"/>
  <c r="H124" i="2"/>
  <c r="F23" i="2"/>
  <c r="H142" i="2"/>
  <c r="H134" i="2"/>
  <c r="H79" i="2"/>
  <c r="H96" i="2"/>
  <c r="H112" i="2"/>
  <c r="H128" i="2"/>
  <c r="H63" i="2"/>
  <c r="H97" i="2"/>
  <c r="H113" i="2"/>
  <c r="H129" i="2"/>
  <c r="H34" i="2"/>
  <c r="H50" i="2"/>
  <c r="H66" i="2"/>
  <c r="H82" i="2"/>
  <c r="H98" i="2"/>
  <c r="H114" i="2"/>
  <c r="H130" i="2"/>
  <c r="H35" i="2"/>
  <c r="H51" i="2"/>
  <c r="H67" i="2"/>
  <c r="H83" i="2"/>
  <c r="H99" i="2"/>
  <c r="H115" i="2"/>
  <c r="H131" i="2"/>
  <c r="H117" i="2"/>
  <c r="H84" i="2"/>
  <c r="H133" i="2"/>
  <c r="H23" i="2"/>
  <c r="H119" i="2"/>
  <c r="H36" i="2"/>
  <c r="H101" i="2"/>
  <c r="H68" i="2"/>
  <c r="H100" i="2"/>
  <c r="H52" i="2"/>
  <c r="H37" i="2"/>
  <c r="H116" i="2"/>
  <c r="H53" i="2"/>
  <c r="H132" i="2"/>
  <c r="E72" i="2"/>
  <c r="K72" i="2" s="1"/>
  <c r="I49" i="2"/>
  <c r="I36" i="2"/>
  <c r="J110" i="2"/>
  <c r="E45" i="2"/>
  <c r="K45" i="2" s="1"/>
  <c r="E31" i="2"/>
  <c r="K31" i="2" s="1"/>
  <c r="E136" i="2"/>
  <c r="K136" i="2" s="1"/>
  <c r="E91" i="2"/>
  <c r="K91" i="2" s="1"/>
  <c r="J54" i="2"/>
  <c r="I27" i="2"/>
  <c r="J24" i="2"/>
  <c r="E41" i="2"/>
  <c r="K41" i="2" s="1"/>
  <c r="I45" i="2"/>
  <c r="J63" i="2"/>
  <c r="E77" i="2"/>
  <c r="K77" i="2" s="1"/>
  <c r="I82" i="2"/>
  <c r="E87" i="2"/>
  <c r="K87" i="2" s="1"/>
  <c r="E95" i="2"/>
  <c r="K95" i="2" s="1"/>
  <c r="E101" i="2"/>
  <c r="K101" i="2" s="1"/>
  <c r="J136" i="2"/>
  <c r="E32" i="2"/>
  <c r="K32" i="2" s="1"/>
  <c r="E37" i="2"/>
  <c r="K37" i="2" s="1"/>
  <c r="I68" i="2"/>
  <c r="I77" i="2"/>
  <c r="J82" i="2"/>
  <c r="J87" i="2"/>
  <c r="I121" i="2"/>
  <c r="E127" i="2"/>
  <c r="K127" i="2" s="1"/>
  <c r="I141" i="2"/>
  <c r="H126" i="2"/>
  <c r="I32" i="2"/>
  <c r="J68" i="2"/>
  <c r="I73" i="2"/>
  <c r="E92" i="2"/>
  <c r="K92" i="2" s="1"/>
  <c r="I101" i="2"/>
  <c r="J106" i="2"/>
  <c r="E111" i="2"/>
  <c r="K111" i="2" s="1"/>
  <c r="J127" i="2"/>
  <c r="E132" i="2"/>
  <c r="K132" i="2" s="1"/>
  <c r="J27" i="2"/>
  <c r="E68" i="2"/>
  <c r="K68" i="2" s="1"/>
  <c r="J42" i="2"/>
  <c r="I92" i="2"/>
  <c r="I22" i="2"/>
  <c r="E29" i="2"/>
  <c r="K29" i="2" s="1"/>
  <c r="I33" i="2"/>
  <c r="E47" i="2"/>
  <c r="K47" i="2" s="1"/>
  <c r="J56" i="2"/>
  <c r="E65" i="2"/>
  <c r="K65" i="2" s="1"/>
  <c r="I112" i="2"/>
  <c r="J123" i="2"/>
  <c r="J128" i="2"/>
  <c r="E63" i="2"/>
  <c r="K63" i="2" s="1"/>
  <c r="J59" i="2"/>
  <c r="J28" i="2"/>
  <c r="I42" i="2"/>
  <c r="E56" i="2"/>
  <c r="K56" i="2" s="1"/>
  <c r="I64" i="2"/>
  <c r="E96" i="2"/>
  <c r="K96" i="2" s="1"/>
  <c r="J132" i="2"/>
  <c r="J83" i="2"/>
  <c r="I96" i="2"/>
  <c r="E33" i="2"/>
  <c r="K33" i="2" s="1"/>
  <c r="I56" i="2"/>
  <c r="J92" i="2"/>
  <c r="E112" i="2"/>
  <c r="K112" i="2" s="1"/>
  <c r="E128" i="2"/>
  <c r="K128" i="2" s="1"/>
  <c r="J22" i="2"/>
  <c r="E26" i="2"/>
  <c r="K26" i="2" s="1"/>
  <c r="J29" i="2"/>
  <c r="J47" i="2"/>
  <c r="J52" i="2"/>
  <c r="E61" i="2"/>
  <c r="K61" i="2" s="1"/>
  <c r="E79" i="2"/>
  <c r="K79" i="2" s="1"/>
  <c r="E84" i="2"/>
  <c r="K84" i="2" s="1"/>
  <c r="E89" i="2"/>
  <c r="K89" i="2" s="1"/>
  <c r="E103" i="2"/>
  <c r="K103" i="2" s="1"/>
  <c r="E108" i="2"/>
  <c r="K108" i="2" s="1"/>
  <c r="J112" i="2"/>
  <c r="I133" i="2"/>
  <c r="E25" i="2"/>
  <c r="I37" i="2"/>
  <c r="I46" i="2"/>
  <c r="E60" i="2"/>
  <c r="K60" i="2" s="1"/>
  <c r="J25" i="2"/>
  <c r="J51" i="2"/>
  <c r="J60" i="2"/>
  <c r="I137" i="2"/>
  <c r="J74" i="2"/>
  <c r="E39" i="2"/>
  <c r="K39" i="2" s="1"/>
  <c r="I70" i="2"/>
  <c r="E75" i="2"/>
  <c r="K75" i="2" s="1"/>
  <c r="E93" i="2"/>
  <c r="K93" i="2" s="1"/>
  <c r="E119" i="2"/>
  <c r="K119" i="2" s="1"/>
  <c r="I26" i="2"/>
  <c r="E44" i="2"/>
  <c r="K44" i="2" s="1"/>
  <c r="I61" i="2"/>
  <c r="J66" i="2"/>
  <c r="J70" i="2"/>
  <c r="J75" i="2"/>
  <c r="I89" i="2"/>
  <c r="I93" i="2"/>
  <c r="I108" i="2"/>
  <c r="J119" i="2"/>
  <c r="E139" i="2"/>
  <c r="K139" i="2" s="1"/>
  <c r="E105" i="2"/>
  <c r="K105" i="2" s="1"/>
  <c r="E131" i="2"/>
  <c r="K131" i="2" s="1"/>
  <c r="E22" i="2"/>
  <c r="K22" i="2" s="1"/>
  <c r="E51" i="2"/>
  <c r="K51" i="2" s="1"/>
  <c r="I78" i="2"/>
  <c r="J26" i="2"/>
  <c r="I30" i="2"/>
  <c r="I44" i="2"/>
  <c r="I48" i="2"/>
  <c r="E53" i="2"/>
  <c r="K53" i="2" s="1"/>
  <c r="I80" i="2"/>
  <c r="J108" i="2"/>
  <c r="I129" i="2"/>
  <c r="I23" i="2"/>
  <c r="J30" i="2"/>
  <c r="J35" i="2"/>
  <c r="J44" i="2"/>
  <c r="J80" i="2"/>
  <c r="I85" i="2"/>
  <c r="J99" i="2"/>
  <c r="I104" i="2"/>
  <c r="J104" i="2"/>
  <c r="E140" i="2"/>
  <c r="K140" i="2" s="1"/>
  <c r="J23" i="2"/>
  <c r="I40" i="2"/>
  <c r="I58" i="2"/>
  <c r="I62" i="2"/>
  <c r="J67" i="2"/>
  <c r="E76" i="2"/>
  <c r="K76" i="2" s="1"/>
  <c r="J90" i="2"/>
  <c r="I94" i="2"/>
  <c r="J114" i="2"/>
  <c r="E120" i="2"/>
  <c r="K120" i="2" s="1"/>
  <c r="I125" i="2"/>
  <c r="E135" i="2"/>
  <c r="K135" i="2" s="1"/>
  <c r="J40" i="2"/>
  <c r="I54" i="2"/>
  <c r="J58" i="2"/>
  <c r="J76" i="2"/>
  <c r="J94" i="2"/>
  <c r="J120" i="2"/>
  <c r="J140" i="2"/>
  <c r="E116" i="2"/>
  <c r="K116" i="2" s="1"/>
  <c r="H64" i="2"/>
  <c r="E123" i="2"/>
  <c r="K123" i="2" s="1"/>
  <c r="G32" i="2"/>
  <c r="G77" i="2"/>
  <c r="G96" i="2"/>
  <c r="G72" i="2"/>
  <c r="H103" i="2"/>
  <c r="J131" i="2"/>
  <c r="J135" i="2"/>
  <c r="J139" i="2"/>
  <c r="H39" i="2"/>
  <c r="G25" i="2"/>
  <c r="G29" i="2"/>
  <c r="J32" i="2"/>
  <c r="I34" i="2"/>
  <c r="J39" i="2"/>
  <c r="G41" i="2"/>
  <c r="J46" i="2"/>
  <c r="E48" i="2"/>
  <c r="K48" i="2" s="1"/>
  <c r="G60" i="2"/>
  <c r="I65" i="2"/>
  <c r="E67" i="2"/>
  <c r="K67" i="2" s="1"/>
  <c r="E81" i="2"/>
  <c r="K81" i="2" s="1"/>
  <c r="I84" i="2"/>
  <c r="J96" i="2"/>
  <c r="I98" i="2"/>
  <c r="J103" i="2"/>
  <c r="G105" i="2"/>
  <c r="I116" i="2"/>
  <c r="J118" i="2"/>
  <c r="G120" i="2"/>
  <c r="J34" i="2"/>
  <c r="E36" i="2"/>
  <c r="K36" i="2" s="1"/>
  <c r="G48" i="2"/>
  <c r="I53" i="2"/>
  <c r="E55" i="2"/>
  <c r="K55" i="2" s="1"/>
  <c r="E69" i="2"/>
  <c r="K69" i="2" s="1"/>
  <c r="I72" i="2"/>
  <c r="J84" i="2"/>
  <c r="I86" i="2"/>
  <c r="J91" i="2"/>
  <c r="G93" i="2"/>
  <c r="J98" i="2"/>
  <c r="E100" i="2"/>
  <c r="K100" i="2" s="1"/>
  <c r="E107" i="2"/>
  <c r="K107" i="2" s="1"/>
  <c r="J116" i="2"/>
  <c r="I142" i="2"/>
  <c r="E141" i="2"/>
  <c r="K141" i="2" s="1"/>
  <c r="I138" i="2"/>
  <c r="E137" i="2"/>
  <c r="K137" i="2" s="1"/>
  <c r="I134" i="2"/>
  <c r="E133" i="2"/>
  <c r="K133" i="2" s="1"/>
  <c r="I130" i="2"/>
  <c r="E129" i="2"/>
  <c r="K129" i="2" s="1"/>
  <c r="I126" i="2"/>
  <c r="E125" i="2"/>
  <c r="K125" i="2" s="1"/>
  <c r="I122" i="2"/>
  <c r="E121" i="2"/>
  <c r="K121" i="2" s="1"/>
  <c r="I118" i="2"/>
  <c r="E117" i="2"/>
  <c r="K117" i="2" s="1"/>
  <c r="I114" i="2"/>
  <c r="E113" i="2"/>
  <c r="K113" i="2" s="1"/>
  <c r="I110" i="2"/>
  <c r="E109" i="2"/>
  <c r="K109" i="2" s="1"/>
  <c r="I106" i="2"/>
  <c r="E142" i="2"/>
  <c r="K142" i="2" s="1"/>
  <c r="I139" i="2"/>
  <c r="E138" i="2"/>
  <c r="K138" i="2" s="1"/>
  <c r="I135" i="2"/>
  <c r="E134" i="2"/>
  <c r="K134" i="2" s="1"/>
  <c r="I131" i="2"/>
  <c r="E130" i="2"/>
  <c r="K130" i="2" s="1"/>
  <c r="I127" i="2"/>
  <c r="E126" i="2"/>
  <c r="K126" i="2" s="1"/>
  <c r="I123" i="2"/>
  <c r="E122" i="2"/>
  <c r="K122" i="2" s="1"/>
  <c r="I119" i="2"/>
  <c r="E118" i="2"/>
  <c r="K118" i="2" s="1"/>
  <c r="I115" i="2"/>
  <c r="E114" i="2"/>
  <c r="K114" i="2" s="1"/>
  <c r="I111" i="2"/>
  <c r="E110" i="2"/>
  <c r="K110" i="2" s="1"/>
  <c r="I107" i="2"/>
  <c r="E106" i="2"/>
  <c r="K106" i="2" s="1"/>
  <c r="I103" i="2"/>
  <c r="E102" i="2"/>
  <c r="K102" i="2" s="1"/>
  <c r="I99" i="2"/>
  <c r="E98" i="2"/>
  <c r="K98" i="2" s="1"/>
  <c r="I95" i="2"/>
  <c r="E94" i="2"/>
  <c r="K94" i="2" s="1"/>
  <c r="I91" i="2"/>
  <c r="E90" i="2"/>
  <c r="K90" i="2" s="1"/>
  <c r="I87" i="2"/>
  <c r="E86" i="2"/>
  <c r="K86" i="2" s="1"/>
  <c r="I83" i="2"/>
  <c r="E82" i="2"/>
  <c r="K82" i="2" s="1"/>
  <c r="I79" i="2"/>
  <c r="E78" i="2"/>
  <c r="K78" i="2" s="1"/>
  <c r="I75" i="2"/>
  <c r="E74" i="2"/>
  <c r="K74" i="2" s="1"/>
  <c r="I71" i="2"/>
  <c r="E70" i="2"/>
  <c r="K70" i="2" s="1"/>
  <c r="I67" i="2"/>
  <c r="E66" i="2"/>
  <c r="K66" i="2" s="1"/>
  <c r="I63" i="2"/>
  <c r="E62" i="2"/>
  <c r="K62" i="2" s="1"/>
  <c r="I59" i="2"/>
  <c r="E58" i="2"/>
  <c r="K58" i="2" s="1"/>
  <c r="I55" i="2"/>
  <c r="E54" i="2"/>
  <c r="K54" i="2" s="1"/>
  <c r="I51" i="2"/>
  <c r="E50" i="2"/>
  <c r="K50" i="2" s="1"/>
  <c r="I47" i="2"/>
  <c r="E46" i="2"/>
  <c r="K46" i="2" s="1"/>
  <c r="I43" i="2"/>
  <c r="E42" i="2"/>
  <c r="K42" i="2" s="1"/>
  <c r="I39" i="2"/>
  <c r="E38" i="2"/>
  <c r="K38" i="2" s="1"/>
  <c r="I35" i="2"/>
  <c r="E34" i="2"/>
  <c r="K34" i="2" s="1"/>
  <c r="I31" i="2"/>
  <c r="E30" i="2"/>
  <c r="K30" i="2" s="1"/>
  <c r="J141" i="2"/>
  <c r="J137" i="2"/>
  <c r="J133" i="2"/>
  <c r="J129" i="2"/>
  <c r="J125" i="2"/>
  <c r="J121" i="2"/>
  <c r="J117" i="2"/>
  <c r="J113" i="2"/>
  <c r="J109" i="2"/>
  <c r="J105" i="2"/>
  <c r="J101" i="2"/>
  <c r="J97" i="2"/>
  <c r="J93" i="2"/>
  <c r="J89" i="2"/>
  <c r="J85" i="2"/>
  <c r="J81" i="2"/>
  <c r="J77" i="2"/>
  <c r="J73" i="2"/>
  <c r="J69" i="2"/>
  <c r="J65" i="2"/>
  <c r="J61" i="2"/>
  <c r="J57" i="2"/>
  <c r="J53" i="2"/>
  <c r="J49" i="2"/>
  <c r="J45" i="2"/>
  <c r="J41" i="2"/>
  <c r="J37" i="2"/>
  <c r="J33" i="2"/>
  <c r="E24" i="2"/>
  <c r="I25" i="2"/>
  <c r="E28" i="2"/>
  <c r="K28" i="2" s="1"/>
  <c r="I29" i="2"/>
  <c r="I41" i="2"/>
  <c r="E43" i="2"/>
  <c r="K43" i="2" s="1"/>
  <c r="E57" i="2"/>
  <c r="K57" i="2" s="1"/>
  <c r="I60" i="2"/>
  <c r="J72" i="2"/>
  <c r="I74" i="2"/>
  <c r="J79" i="2"/>
  <c r="J86" i="2"/>
  <c r="E88" i="2"/>
  <c r="K88" i="2" s="1"/>
  <c r="I105" i="2"/>
  <c r="I120" i="2"/>
  <c r="J122" i="2"/>
  <c r="G130" i="2"/>
  <c r="G134" i="2"/>
  <c r="G138" i="2"/>
  <c r="G142" i="2"/>
  <c r="J48" i="2"/>
  <c r="I50" i="2"/>
  <c r="J55" i="2"/>
  <c r="J62" i="2"/>
  <c r="E64" i="2"/>
  <c r="K64" i="2" s="1"/>
  <c r="G76" i="2"/>
  <c r="I81" i="2"/>
  <c r="E83" i="2"/>
  <c r="K83" i="2" s="1"/>
  <c r="E97" i="2"/>
  <c r="K97" i="2" s="1"/>
  <c r="I100" i="2"/>
  <c r="J107" i="2"/>
  <c r="I109" i="2"/>
  <c r="G113" i="2"/>
  <c r="I124" i="2"/>
  <c r="J126" i="2"/>
  <c r="G128" i="2"/>
  <c r="G132" i="2"/>
  <c r="G136" i="2"/>
  <c r="G140" i="2"/>
  <c r="J36" i="2"/>
  <c r="I38" i="2"/>
  <c r="J43" i="2"/>
  <c r="J50" i="2"/>
  <c r="E52" i="2"/>
  <c r="K52" i="2" s="1"/>
  <c r="G64" i="2"/>
  <c r="I69" i="2"/>
  <c r="E71" i="2"/>
  <c r="K71" i="2" s="1"/>
  <c r="E85" i="2"/>
  <c r="K85" i="2" s="1"/>
  <c r="I88" i="2"/>
  <c r="J100" i="2"/>
  <c r="I102" i="2"/>
  <c r="E115" i="2"/>
  <c r="K115" i="2" s="1"/>
  <c r="J124" i="2"/>
  <c r="J130" i="2"/>
  <c r="J134" i="2"/>
  <c r="J138" i="2"/>
  <c r="J142" i="2"/>
  <c r="E23" i="2"/>
  <c r="K23" i="2" s="1"/>
  <c r="I24" i="2"/>
  <c r="E27" i="2"/>
  <c r="K27" i="2" s="1"/>
  <c r="I28" i="2"/>
  <c r="J31" i="2"/>
  <c r="J38" i="2"/>
  <c r="E40" i="2"/>
  <c r="K40" i="2" s="1"/>
  <c r="I57" i="2"/>
  <c r="E59" i="2"/>
  <c r="K59" i="2" s="1"/>
  <c r="E73" i="2"/>
  <c r="K73" i="2" s="1"/>
  <c r="I76" i="2"/>
  <c r="J88" i="2"/>
  <c r="I90" i="2"/>
  <c r="J95" i="2"/>
  <c r="J102" i="2"/>
  <c r="E104" i="2"/>
  <c r="K104" i="2" s="1"/>
  <c r="J111" i="2"/>
  <c r="I113" i="2"/>
  <c r="I128" i="2"/>
  <c r="I132" i="2"/>
  <c r="I136" i="2"/>
  <c r="I140" i="2"/>
  <c r="E35" i="2"/>
  <c r="K35" i="2" s="1"/>
  <c r="E49" i="2"/>
  <c r="K49" i="2" s="1"/>
  <c r="I52" i="2"/>
  <c r="J64" i="2"/>
  <c r="I66" i="2"/>
  <c r="J71" i="2"/>
  <c r="J78" i="2"/>
  <c r="E80" i="2"/>
  <c r="K80" i="2" s="1"/>
  <c r="I97" i="2"/>
  <c r="E99" i="2"/>
  <c r="K99" i="2" s="1"/>
  <c r="J115" i="2"/>
  <c r="I117" i="2"/>
  <c r="F24" i="2" l="1"/>
  <c r="F25" i="2" s="1"/>
  <c r="F26" i="2" s="1"/>
  <c r="F27" i="2" s="1"/>
  <c r="F28" i="2" s="1"/>
  <c r="F29" i="2" s="1"/>
  <c r="F30" i="2" s="1"/>
  <c r="F31" i="2" s="1"/>
  <c r="F32" i="2" s="1"/>
  <c r="F33" i="2" s="1"/>
  <c r="F34" i="2" s="1"/>
  <c r="F35" i="2" s="1"/>
  <c r="F36" i="2" s="1"/>
  <c r="F37" i="2" s="1"/>
  <c r="F38" i="2" s="1"/>
  <c r="F39" i="2" s="1"/>
  <c r="F40" i="2" s="1"/>
  <c r="F41" i="2" s="1"/>
  <c r="F42" i="2" s="1"/>
  <c r="F43" i="2" s="1"/>
  <c r="F44" i="2" s="1"/>
  <c r="F45" i="2" s="1"/>
  <c r="F46" i="2" s="1"/>
  <c r="F47" i="2" s="1"/>
  <c r="F48" i="2" s="1"/>
  <c r="F49" i="2" s="1"/>
  <c r="F50" i="2" s="1"/>
  <c r="F51" i="2" s="1"/>
  <c r="F52" i="2" s="1"/>
  <c r="F53" i="2" s="1"/>
  <c r="F54" i="2" s="1"/>
  <c r="F55" i="2" s="1"/>
  <c r="F56" i="2" s="1"/>
  <c r="F57" i="2" s="1"/>
  <c r="F58" i="2" s="1"/>
  <c r="F59" i="2" s="1"/>
  <c r="F60" i="2" s="1"/>
  <c r="F61" i="2" s="1"/>
  <c r="F62" i="2" s="1"/>
  <c r="F63" i="2" s="1"/>
  <c r="F64" i="2" s="1"/>
  <c r="F65" i="2" s="1"/>
  <c r="F66" i="2" s="1"/>
  <c r="F67" i="2" s="1"/>
  <c r="F68" i="2" s="1"/>
  <c r="F69" i="2" s="1"/>
  <c r="F70" i="2" s="1"/>
  <c r="F71" i="2" s="1"/>
  <c r="F72" i="2" s="1"/>
  <c r="F73" i="2" s="1"/>
  <c r="F74" i="2" s="1"/>
  <c r="F75" i="2" s="1"/>
  <c r="F76" i="2" s="1"/>
  <c r="F77" i="2" s="1"/>
  <c r="F78" i="2" s="1"/>
  <c r="F79" i="2" s="1"/>
  <c r="F80" i="2" s="1"/>
  <c r="F81" i="2" s="1"/>
  <c r="F82" i="2" s="1"/>
  <c r="F83" i="2" s="1"/>
  <c r="F84" i="2" s="1"/>
  <c r="F85" i="2" s="1"/>
  <c r="F86" i="2" s="1"/>
  <c r="F87" i="2" s="1"/>
  <c r="F88" i="2" s="1"/>
  <c r="F89" i="2" s="1"/>
  <c r="F90" i="2" s="1"/>
  <c r="F91" i="2" s="1"/>
  <c r="F92" i="2" s="1"/>
  <c r="F93" i="2" s="1"/>
  <c r="F94" i="2" s="1"/>
  <c r="F95" i="2" s="1"/>
  <c r="F96" i="2" s="1"/>
  <c r="F97" i="2" s="1"/>
  <c r="F98" i="2" s="1"/>
  <c r="F99" i="2" s="1"/>
  <c r="F100" i="2" s="1"/>
  <c r="F101" i="2" s="1"/>
  <c r="F102" i="2" s="1"/>
  <c r="F103" i="2" s="1"/>
  <c r="F104" i="2" s="1"/>
  <c r="F105" i="2" s="1"/>
  <c r="F106" i="2" s="1"/>
  <c r="F107" i="2" s="1"/>
  <c r="F108" i="2" s="1"/>
  <c r="F109" i="2" s="1"/>
  <c r="F110" i="2" s="1"/>
  <c r="F111" i="2" s="1"/>
  <c r="F112" i="2" s="1"/>
  <c r="F113" i="2" s="1"/>
  <c r="F114" i="2" s="1"/>
  <c r="F115" i="2" s="1"/>
  <c r="F116" i="2" s="1"/>
  <c r="F117" i="2" s="1"/>
  <c r="F118" i="2" s="1"/>
  <c r="F119" i="2" s="1"/>
  <c r="F120" i="2" s="1"/>
  <c r="F121" i="2" s="1"/>
  <c r="F122" i="2" s="1"/>
  <c r="F123" i="2" s="1"/>
  <c r="F124" i="2" s="1"/>
  <c r="F125" i="2" s="1"/>
  <c r="F126" i="2" s="1"/>
  <c r="F127" i="2" s="1"/>
  <c r="F128" i="2" s="1"/>
  <c r="F129" i="2" s="1"/>
  <c r="F130" i="2" s="1"/>
  <c r="F131" i="2" s="1"/>
  <c r="F132" i="2" s="1"/>
  <c r="F133" i="2" s="1"/>
  <c r="F134" i="2" s="1"/>
  <c r="F135" i="2" s="1"/>
  <c r="F136" i="2" s="1"/>
  <c r="F137" i="2" s="1"/>
  <c r="F138" i="2" s="1"/>
  <c r="F139" i="2" s="1"/>
  <c r="F140" i="2" s="1"/>
  <c r="F141" i="2" s="1"/>
  <c r="F142" i="2" s="1"/>
  <c r="L142" i="2" s="1"/>
  <c r="M142" i="2" s="1"/>
  <c r="H22" i="2"/>
  <c r="L22" i="2" s="1"/>
  <c r="M22" i="2" s="1"/>
  <c r="K25" i="2"/>
  <c r="K24" i="2"/>
  <c r="L23" i="2"/>
  <c r="M23" i="2" s="1"/>
  <c r="B17" i="2" l="1"/>
  <c r="L27" i="2"/>
  <c r="M27" i="2" s="1"/>
  <c r="L32" i="2"/>
  <c r="M32" i="2" s="1"/>
  <c r="L30" i="2"/>
  <c r="M30" i="2" s="1"/>
  <c r="L31" i="2"/>
  <c r="M31" i="2" s="1"/>
  <c r="L28" i="2"/>
  <c r="M28" i="2" s="1"/>
  <c r="L26" i="2"/>
  <c r="M26" i="2" s="1"/>
  <c r="L24" i="2"/>
  <c r="M24" i="2" s="1"/>
  <c r="L33" i="2"/>
  <c r="M33" i="2" s="1"/>
  <c r="L34" i="2"/>
  <c r="M34" i="2" s="1"/>
  <c r="L29" i="2"/>
  <c r="M29" i="2" s="1"/>
  <c r="L25" i="2"/>
  <c r="M25" i="2" s="1"/>
  <c r="L38" i="2"/>
  <c r="M38" i="2" s="1"/>
  <c r="L46" i="2"/>
  <c r="M46" i="2" s="1"/>
  <c r="L133" i="2"/>
  <c r="M133" i="2" s="1"/>
  <c r="L69" i="2"/>
  <c r="M69" i="2" s="1"/>
  <c r="L75" i="2"/>
  <c r="M75" i="2" s="1"/>
  <c r="L89" i="2"/>
  <c r="M89" i="2" s="1"/>
  <c r="L43" i="2"/>
  <c r="M43" i="2" s="1"/>
  <c r="L97" i="2"/>
  <c r="M97" i="2" s="1"/>
  <c r="L45" i="2"/>
  <c r="M45" i="2" s="1"/>
  <c r="L104" i="2"/>
  <c r="M104" i="2" s="1"/>
  <c r="L55" i="2"/>
  <c r="M55" i="2" s="1"/>
  <c r="L71" i="2"/>
  <c r="M71" i="2" s="1"/>
  <c r="L54" i="2"/>
  <c r="M54" i="2" s="1"/>
  <c r="L76" i="2"/>
  <c r="M76" i="2" s="1"/>
  <c r="L139" i="2"/>
  <c r="M139" i="2" s="1"/>
  <c r="L65" i="2"/>
  <c r="M65" i="2" s="1"/>
  <c r="L66" i="2"/>
  <c r="M66" i="2" s="1"/>
  <c r="L86" i="2"/>
  <c r="M86" i="2" s="1"/>
  <c r="L114" i="2"/>
  <c r="M114" i="2" s="1"/>
  <c r="L62" i="2"/>
  <c r="M62" i="2" s="1"/>
  <c r="L91" i="2"/>
  <c r="M91" i="2" s="1"/>
  <c r="L50" i="2"/>
  <c r="M50" i="2" s="1"/>
  <c r="L40" i="2"/>
  <c r="M40" i="2" s="1"/>
  <c r="L119" i="2"/>
  <c r="M119" i="2" s="1"/>
  <c r="L108" i="2"/>
  <c r="M108" i="2" s="1"/>
  <c r="L42" i="2"/>
  <c r="M42" i="2" s="1"/>
  <c r="L98" i="2"/>
  <c r="M98" i="2" s="1"/>
  <c r="L59" i="2"/>
  <c r="M59" i="2" s="1"/>
  <c r="L35" i="2"/>
  <c r="M35" i="2" s="1"/>
  <c r="L37" i="2"/>
  <c r="M37" i="2" s="1"/>
  <c r="L115" i="2"/>
  <c r="M115" i="2" s="1"/>
  <c r="L80" i="2"/>
  <c r="M80" i="2" s="1"/>
  <c r="L41" i="2"/>
  <c r="M41" i="2" s="1"/>
  <c r="L61" i="2"/>
  <c r="M61" i="2" s="1"/>
  <c r="L90" i="2"/>
  <c r="M90" i="2" s="1"/>
  <c r="L68" i="2"/>
  <c r="M68" i="2" s="1"/>
  <c r="L36" i="2"/>
  <c r="M36" i="2" s="1"/>
  <c r="L112" i="2"/>
  <c r="M112" i="2" s="1"/>
  <c r="L94" i="2"/>
  <c r="M94" i="2" s="1"/>
  <c r="L95" i="2"/>
  <c r="M95" i="2" s="1"/>
  <c r="L77" i="2"/>
  <c r="M77" i="2" s="1"/>
  <c r="L58" i="2"/>
  <c r="M58" i="2" s="1"/>
  <c r="L101" i="2"/>
  <c r="M101" i="2" s="1"/>
  <c r="L47" i="2"/>
  <c r="M47" i="2" s="1"/>
  <c r="L88" i="2"/>
  <c r="M88" i="2" s="1"/>
  <c r="L64" i="2"/>
  <c r="M64" i="2" s="1"/>
  <c r="L82" i="2"/>
  <c r="M82" i="2" s="1"/>
  <c r="L110" i="2"/>
  <c r="M110" i="2" s="1"/>
  <c r="L81" i="2"/>
  <c r="M81" i="2" s="1"/>
  <c r="L39" i="2"/>
  <c r="M39" i="2" s="1"/>
  <c r="L106" i="2"/>
  <c r="M106" i="2" s="1"/>
  <c r="L51" i="2"/>
  <c r="M51" i="2" s="1"/>
  <c r="L85" i="2"/>
  <c r="M85" i="2" s="1"/>
  <c r="L72" i="2"/>
  <c r="M72" i="2" s="1"/>
  <c r="L52" i="2"/>
  <c r="M52" i="2" s="1"/>
  <c r="L92" i="2"/>
  <c r="M92" i="2" s="1"/>
  <c r="L84" i="2"/>
  <c r="M84" i="2" s="1"/>
  <c r="L44" i="2"/>
  <c r="M44" i="2" s="1"/>
  <c r="L56" i="2"/>
  <c r="M56" i="2" s="1"/>
  <c r="L73" i="2"/>
  <c r="M73" i="2" s="1"/>
  <c r="L117" i="2"/>
  <c r="M117" i="2" s="1"/>
  <c r="L93" i="2"/>
  <c r="M93" i="2" s="1"/>
  <c r="L63" i="2"/>
  <c r="M63" i="2" s="1"/>
  <c r="L130" i="2"/>
  <c r="M130" i="2" s="1"/>
  <c r="L53" i="2"/>
  <c r="M53" i="2" s="1"/>
  <c r="L48" i="2"/>
  <c r="M48" i="2" s="1"/>
  <c r="L121" i="2"/>
  <c r="M121" i="2" s="1"/>
  <c r="L105" i="2"/>
  <c r="M105" i="2" s="1"/>
  <c r="L140" i="2"/>
  <c r="M140" i="2" s="1"/>
  <c r="L141" i="2"/>
  <c r="M141" i="2" s="1"/>
  <c r="L128" i="2"/>
  <c r="M128" i="2" s="1"/>
  <c r="L132" i="2"/>
  <c r="M132" i="2" s="1"/>
  <c r="L124" i="2"/>
  <c r="M124" i="2" s="1"/>
  <c r="L100" i="2"/>
  <c r="M100" i="2" s="1"/>
  <c r="L129" i="2"/>
  <c r="M129" i="2" s="1"/>
  <c r="L138" i="2"/>
  <c r="M138" i="2" s="1"/>
  <c r="L74" i="2"/>
  <c r="M74" i="2" s="1"/>
  <c r="L109" i="2"/>
  <c r="M109" i="2" s="1"/>
  <c r="L99" i="2"/>
  <c r="M99" i="2" s="1"/>
  <c r="L136" i="2"/>
  <c r="M136" i="2" s="1"/>
  <c r="L134" i="2"/>
  <c r="M134" i="2" s="1"/>
  <c r="L79" i="2"/>
  <c r="M79" i="2" s="1"/>
  <c r="L57" i="2"/>
  <c r="M57" i="2" s="1"/>
  <c r="L78" i="2"/>
  <c r="M78" i="2" s="1"/>
  <c r="L96" i="2"/>
  <c r="M96" i="2" s="1"/>
  <c r="L118" i="2"/>
  <c r="M118" i="2" s="1"/>
  <c r="L103" i="2"/>
  <c r="M103" i="2" s="1"/>
  <c r="L113" i="2"/>
  <c r="M113" i="2" s="1"/>
  <c r="L67" i="2"/>
  <c r="M67" i="2" s="1"/>
  <c r="L137" i="2"/>
  <c r="M137" i="2" s="1"/>
  <c r="L70" i="2"/>
  <c r="M70" i="2" s="1"/>
  <c r="L49" i="2"/>
  <c r="M49" i="2" s="1"/>
  <c r="L102" i="2"/>
  <c r="M102" i="2" s="1"/>
  <c r="L131" i="2"/>
  <c r="M131" i="2" s="1"/>
  <c r="L60" i="2"/>
  <c r="M60" i="2" s="1"/>
  <c r="L83" i="2"/>
  <c r="M83" i="2" s="1"/>
  <c r="L135" i="2"/>
  <c r="M135" i="2" s="1"/>
  <c r="L127" i="2"/>
  <c r="M127" i="2" s="1"/>
  <c r="L125" i="2"/>
  <c r="M125" i="2" s="1"/>
  <c r="L116" i="2"/>
  <c r="M116" i="2" s="1"/>
  <c r="L87" i="2"/>
  <c r="M87" i="2" s="1"/>
  <c r="L120" i="2"/>
  <c r="M120" i="2" s="1"/>
  <c r="L126" i="2"/>
  <c r="M126" i="2" s="1"/>
  <c r="L123" i="2"/>
  <c r="M123" i="2" s="1"/>
  <c r="L107" i="2"/>
  <c r="M107" i="2" s="1"/>
  <c r="L111" i="2"/>
  <c r="M111" i="2" s="1"/>
  <c r="L122" i="2"/>
  <c r="M122" i="2" s="1"/>
  <c r="B18" i="2" l="1"/>
  <c r="B19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<sst xmlns="http://schemas.openxmlformats.org/spreadsheetml/2006/main" count="52" uniqueCount="52">
  <si>
    <t>Single Life Annuity Factor — stepwise construction</t>
  </si>
  <si>
    <t>Purpose</t>
  </si>
  <si>
    <t>Convention</t>
  </si>
  <si>
    <t>Input</t>
  </si>
  <si>
    <t>Value</t>
  </si>
  <si>
    <t>Description</t>
  </si>
  <si>
    <t>Deferral age</t>
  </si>
  <si>
    <t>Certain period</t>
  </si>
  <si>
    <t>Temporary period</t>
  </si>
  <si>
    <t>COLA % increase</t>
  </si>
  <si>
    <t>Annual benefit increase after deferral.</t>
  </si>
  <si>
    <t>Segment rate 1</t>
  </si>
  <si>
    <t>Applied to durations 0–4.</t>
  </si>
  <si>
    <t>Segment rate 2</t>
  </si>
  <si>
    <t>Applied to durations 5–19.</t>
  </si>
  <si>
    <t>Segment rate 3</t>
  </si>
  <si>
    <t>Applied to durations 20+.</t>
  </si>
  <si>
    <t>Delay</t>
  </si>
  <si>
    <t>MAX(Deferral age − Primary age, 0).</t>
  </si>
  <si>
    <t>Survival to deferral</t>
  </si>
  <si>
    <t>Probability of surviving through the deferral period.</t>
  </si>
  <si>
    <t>Certain-period AF</t>
  </si>
  <si>
    <t>CP_Calc_COLA component.</t>
  </si>
  <si>
    <t>Life-contingent AF</t>
  </si>
  <si>
    <t>SL_Calc_COLA component.</t>
  </si>
  <si>
    <t>Total single-life AF</t>
  </si>
  <si>
    <t>Certain-period AF + life-contingent AF.</t>
  </si>
  <si>
    <t>t</t>
  </si>
  <si>
    <t>Attained age</t>
  </si>
  <si>
    <t>q_x</t>
  </si>
  <si>
    <t>In certain period</t>
  </si>
  <si>
    <t>Survival to start</t>
  </si>
  <si>
    <t>Payment timing adj.</t>
  </si>
  <si>
    <t>COLA multiplier</t>
  </si>
  <si>
    <t>Life pay flag</t>
  </si>
  <si>
    <t>Current Age</t>
  </si>
  <si>
    <t>Age at calculation/commencement basis; fractional ages omitted.</t>
  </si>
  <si>
    <t>If below current age, this has no impact on develompent</t>
  </si>
  <si>
    <t>Guaranteed years paid after deferral.</t>
  </si>
  <si>
    <t>0 = whole life; otherwise stops payments Certain + Temporary period.</t>
  </si>
  <si>
    <t>Calculates a single-life annuity factor using annual mortality, segmented interest rates, optional certain period, temporary period, and COLA. The logic mirrors the standard annuity factor development used in real world benefit administration.</t>
  </si>
  <si>
    <t>Mortality</t>
  </si>
  <si>
    <t>Input Key</t>
  </si>
  <si>
    <t>Optional</t>
  </si>
  <si>
    <t>Required</t>
  </si>
  <si>
    <t>Calculated</t>
  </si>
  <si>
    <t xml:space="preserve">Payments are approximated using the actuarial standard term: 13/24 + 11/24 × v × (1 − q). </t>
  </si>
  <si>
    <t>Discount</t>
  </si>
  <si>
    <t xml:space="preserve">Certain </t>
  </si>
  <si>
    <t xml:space="preserve">Life </t>
  </si>
  <si>
    <t>Total</t>
  </si>
  <si>
    <t>Spot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</si>
</sst>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%"/>
    <numFmt numFmtId="165" formatCode="0.0000000000"/>
    <numFmt numFmtId="166" formatCode="0.000000"/>
    <numFmt numFmtId="171" formatCode="0.00000"/>
    <numFmt numFmtId="173" formatCode="0.0000"/>
  </numFmts>
  <fonts count="6">
    <font>
      <sz val="11"/>
      <color theme="1"/>
      <name val="Calibri"/>
      <family val="2"/>
      <scheme val="minor"/>
    </font>
    <font>
      <sz val="11"/>
      <name val="Carlito"/>
    </font>
    <font>
      <b/>
      <sz val="10"/>
      <color rgb="FFFFFFFF"/>
      <name val="Aptos"/>
    </font>
    <font>
      <b/>
      <sz val="11"/>
      <name val="Carlito"/>
    </font>
    <font>
      <i/>
      <sz val="11"/>
      <name val="Carlito"/>
    </font>
    <font>
      <b/>
      <sz val="11"/>
      <color rgb="FFFFFFFF"/>
      <name val="Carlito"/>
    </font>
  </fonts>
  <fills count="9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1">
    <xf numFmtId="0" fontId="0" fillId="0" borderId="0" xfId="0"/>
    <xf numFmtId="0" fontId="2" fillId="3" borderId="0" xfId="1" applyFont="1" applyFill="1" applyAlignment="1">
      <alignment horizontal="center" vertical="center" wrapText="1"/>
    </xf>
    <xf numFmtId="0" fontId="1" fillId="0" borderId="0" xfId="1"/>
    <xf numFmtId="0" fontId="1" fillId="0" borderId="0" xfId="1" applyAlignment="1">
      <alignment wrapText="1"/>
    </xf>
    <xf numFmtId="0" fontId="3" fillId="4" borderId="0" xfId="1" applyFont="1" applyFill="1" applyAlignment="1">
      <alignment horizontal="center" vertical="center" wrapText="1"/>
    </xf>
    <xf numFmtId="0" fontId="4" fillId="2" borderId="0" xfId="1" applyFont="1" applyFill="1" applyAlignment="1">
      <alignment wrapText="1"/>
    </xf>
    <xf numFmtId="0" fontId="5" fillId="5" borderId="0" xfId="1" applyFont="1" applyFill="1" applyAlignment="1">
      <alignment horizontal="center" vertical="center" wrapText="1"/>
    </xf>
    <xf numFmtId="0" fontId="1" fillId="6" borderId="0" xfId="1" applyFill="1" applyAlignment="1">
      <alignment horizontal="right" wrapText="1"/>
    </xf>
    <xf numFmtId="164" fontId="1" fillId="6" borderId="0" xfId="1" applyNumberFormat="1" applyFill="1" applyAlignment="1">
      <alignment horizontal="right" wrapText="1"/>
    </xf>
    <xf numFmtId="165" fontId="3" fillId="7" borderId="0" xfId="1" applyNumberFormat="1" applyFont="1" applyFill="1" applyAlignment="1">
      <alignment horizontal="right" wrapText="1"/>
    </xf>
    <xf numFmtId="1" fontId="1" fillId="0" borderId="0" xfId="1" applyNumberFormat="1" applyAlignment="1">
      <alignment wrapText="1"/>
    </xf>
    <xf numFmtId="166" fontId="1" fillId="0" borderId="0" xfId="1" applyNumberFormat="1" applyAlignment="1">
      <alignment wrapText="1"/>
    </xf>
    <xf numFmtId="165" fontId="1" fillId="0" borderId="0" xfId="1" applyNumberFormat="1" applyAlignment="1">
      <alignment wrapText="1"/>
    </xf>
    <xf numFmtId="0" fontId="1" fillId="8" borderId="0" xfId="1" applyFill="1" applyAlignment="1">
      <alignment horizontal="right" wrapText="1"/>
    </xf>
    <xf numFmtId="171" fontId="1" fillId="8" borderId="0" xfId="1" applyNumberFormat="1" applyFill="1" applyAlignment="1">
      <alignment horizontal="right" wrapText="1"/>
    </xf>
    <xf numFmtId="171" fontId="1" fillId="0" borderId="0" xfId="1" applyNumberFormat="1" applyFill="1" applyAlignment="1">
      <alignment horizontal="center" wrapText="1"/>
    </xf>
    <xf numFmtId="165" fontId="1" fillId="7" borderId="0" xfId="1" applyNumberFormat="1" applyFont="1" applyFill="1" applyAlignment="1">
      <alignment horizontal="right" wrapText="1"/>
    </xf>
    <xf numFmtId="0" fontId="5" fillId="5" borderId="0" xfId="1" applyFont="1" applyFill="1" applyAlignment="1">
      <alignment horizontal="left" vertical="center" wrapText="1"/>
    </xf>
    <xf numFmtId="0" fontId="1" fillId="0" borderId="0" xfId="1" applyAlignment="1">
      <alignment horizontal="left" wrapText="1"/>
    </xf>
    <xf numFmtId="10" fontId="1" fillId="8" borderId="0" xfId="1" applyNumberFormat="1" applyFill="1" applyAlignment="1">
      <alignment horizontal="right" wrapText="1"/>
    </xf>
    <xf numFmtId="173" fontId="1" fillId="0" borderId="0" xfId="1" applyNumberFormat="1" applyAlignment="1">
      <alignment wrapText="1"/>
    </xf>
  </cellXfs>
  <cellStyles count="2">
    <cellStyle name="Normal" xfId="0" builtinId="0"/>
    <cellStyle name="Normal 2" xfId="1" xr:uid="{65A4A357-ABD4-4212-A11D-7E5E62E0C966}"/>
  </cellStyles>
  <dxfs count="2">
    <dxf>
      <numFmt numFmtId="173" formatCode="0.0000"/>
    </dxf>
    <dxf>
      <numFmt numFmtId="166" formatCode="0.000000"/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84DE12-55E9-41F5-9A5E-23A06882FBB2}" name="SingleLifeCalc" displayName="SingleLifeCalc" ref="A21:M142">
  <tableColumns count="13">
    <tableColumn id="1" xr3:uid="{97CF076C-326C-423D-8102-88B141B9F1AD}" name="t"/>
    <tableColumn id="2" xr3:uid="{069AE6AE-06D9-4BEC-B303-F8905D4E9A15}" name="Attained age">
      <calculatedColumnFormula>$B$7+A22</calculatedColumnFormula>
    </tableColumn>
    <tableColumn id="3" xr3:uid="{2EEED07E-D416-4481-849E-6FAEA276BF98}" name="q_x" dataDxfId="1" dataCellStyle="Normal 2">
      <calculatedColumnFormula>OFFSET(Mort_Start,MATCH(MIN(120,B22),Mort_Age_Range,0),0)</calculatedColumnFormula>
    </tableColumn>
    <tableColumn id="4" xr3:uid="{DC4B3400-736B-444D-ABC6-F66087F02563}" name="Spot rate" dataDxfId="0">
      <calculatedColumnFormula>IF(A22&lt;5,$B$8,IF(A22&lt;20,$B$9,$B$10))</calculatedColumnFormula>
    </tableColumn>
    <tableColumn id="5" xr3:uid="{A124BA22-74AC-4527-970A-DF0357E988CA}" name="In certain period">
      <calculatedColumnFormula>AND(A22&gt;=$B$15,A22&lt;$B$15+$B$12)</calculatedColumnFormula>
    </tableColumn>
    <tableColumn id="6" xr3:uid="{01C6C482-55CD-466F-9BC6-2C1C9A7C27ED}" name="Survival to start"/>
    <tableColumn id="7" xr3:uid="{C22AD783-447C-4E3A-BE42-C8402F965B48}" name="Discount">
      <calculatedColumnFormula>IF(D22=0,1,(1+D22)^-A22)</calculatedColumnFormula>
    </tableColumn>
    <tableColumn id="8" xr3:uid="{64CBC681-CD2C-4495-9A78-9F32FB8B7A29}" name="Payment timing adj.">
      <calculatedColumnFormula>13/24+11/24/(1+D22)*(1-C22)</calculatedColumnFormula>
    </tableColumn>
    <tableColumn id="9" xr3:uid="{D0F6E89B-78A6-48CE-8C11-46907A3FF923}" name="COLA multiplier">
      <calculatedColumnFormula>(1+$B$14)^(A22-$B$15)</calculatedColumnFormula>
    </tableColumn>
    <tableColumn id="10" xr3:uid="{844DBE67-0850-4A2D-930D-989AF75118C0}" name="Life pay flag">
      <calculatedColumnFormula>AND(A22&gt;=$B$15+$B$12,OR($B$13=0,A22&lt;$B$15+$B$13))</calculatedColumnFormula>
    </tableColumn>
    <tableColumn id="11" xr3:uid="{FAAB696E-F367-4E4A-A2C8-0F97FA8FC90E}" name="Certain ">
      <calculatedColumnFormula>IF(E22,$B$16*I22*G22*IF(D22=0,1,(1-(1+D22)^-1)/(12*(1-(1+D22)^(-1/12)))),0)</calculatedColumnFormula>
    </tableColumn>
    <tableColumn id="12" xr3:uid="{496F3E8A-68E4-445B-B4A0-86ED146AAE1A}" name="Life ">
      <calculatedColumnFormula>IF(J22,I22*G22*F22*H22,0)</calculatedColumnFormula>
    </tableColumn>
    <tableColumn id="13" xr3:uid="{383CFD8D-21D8-4093-8CF6-9CA4A1146645}" name="Total">
      <calculatedColumnFormula>K22+L22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BBC0B-C184-4BB5-9849-EA094134816C}">
  <sheetPr codeName="Sheet2"/>
  <dimension ref="A1:O142"/>
  <sheetViews>
    <sheetView tabSelected="1" workbookViewId="0">
      <pane ySplit="21" topLeftCell="A22" activePane="bottomLeft" state="frozen"/>
      <selection pane="bottomLeft" activeCell="C19" sqref="C19:M19"/>
    </sheetView>
  </sheetViews>
  <sheetFormatPr defaultRowHeight="14.25"/>
  <cols>
    <col min="1" max="1" width="20.140625" style="2" customWidth="1"/>
    <col min="2" max="13" width="16" style="2" customWidth="1"/>
    <col min="14" max="14" width="9.140625" style="2"/>
    <col min="15" max="15" width="10.85546875" style="2" bestFit="1" customWidth="1"/>
    <col min="16" max="16384" width="9.140625" style="2"/>
  </cols>
  <sheetData>
    <row r="1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O1" s="2" t="s">
        <v>42</v>
      </c>
    </row>
    <row r="2" spans="1:1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O2" s="13" t="s">
        <v>44</v>
      </c>
    </row>
    <row r="3" spans="1:15" ht="15">
      <c r="A3" s="4" t="s">
        <v>1</v>
      </c>
      <c r="B3" s="5" t="s">
        <v>40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O3" s="7" t="s">
        <v>43</v>
      </c>
    </row>
    <row r="4" spans="1:15" ht="15">
      <c r="A4" s="4" t="s">
        <v>2</v>
      </c>
      <c r="B4" s="5" t="s">
        <v>46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O4" s="16" t="s">
        <v>45</v>
      </c>
    </row>
    <row r="5" spans="1:1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5" ht="15">
      <c r="A6" s="6" t="s">
        <v>3</v>
      </c>
      <c r="B6" s="6" t="s">
        <v>4</v>
      </c>
      <c r="C6" s="17" t="s">
        <v>5</v>
      </c>
      <c r="D6" s="17"/>
      <c r="E6" s="17"/>
      <c r="F6" s="17"/>
      <c r="G6" s="17"/>
      <c r="H6" s="17"/>
      <c r="I6" s="17"/>
      <c r="J6" s="17"/>
      <c r="K6" s="17"/>
      <c r="L6" s="17"/>
      <c r="M6" s="17"/>
    </row>
    <row r="7" spans="1:15">
      <c r="A7" s="3" t="s">
        <v>35</v>
      </c>
      <c r="B7" s="13">
        <v>65</v>
      </c>
      <c r="C7" s="18" t="s">
        <v>36</v>
      </c>
      <c r="D7" s="18"/>
      <c r="E7" s="18"/>
      <c r="F7" s="18"/>
      <c r="G7" s="18"/>
      <c r="H7" s="18"/>
      <c r="I7" s="18"/>
      <c r="J7" s="18"/>
      <c r="K7" s="18"/>
      <c r="L7" s="18"/>
      <c r="M7" s="18"/>
    </row>
    <row r="8" spans="1:15">
      <c r="A8" s="3" t="s">
        <v>11</v>
      </c>
      <c r="B8" s="19">
        <v>0.03</v>
      </c>
      <c r="C8" s="18" t="s">
        <v>12</v>
      </c>
      <c r="D8" s="18"/>
      <c r="E8" s="18"/>
      <c r="F8" s="18"/>
      <c r="G8" s="18"/>
      <c r="H8" s="18"/>
      <c r="I8" s="18"/>
      <c r="J8" s="18"/>
      <c r="K8" s="18"/>
      <c r="L8" s="18"/>
      <c r="M8" s="18"/>
    </row>
    <row r="9" spans="1:15">
      <c r="A9" s="3" t="s">
        <v>13</v>
      </c>
      <c r="B9" s="19">
        <v>0.05</v>
      </c>
      <c r="C9" s="18" t="s">
        <v>14</v>
      </c>
      <c r="D9" s="18"/>
      <c r="E9" s="18"/>
      <c r="F9" s="18"/>
      <c r="G9" s="18"/>
      <c r="H9" s="18"/>
      <c r="I9" s="18"/>
      <c r="J9" s="18"/>
      <c r="K9" s="18"/>
      <c r="L9" s="18"/>
      <c r="M9" s="18"/>
    </row>
    <row r="10" spans="1:15">
      <c r="A10" s="3" t="s">
        <v>15</v>
      </c>
      <c r="B10" s="19">
        <v>5.5E-2</v>
      </c>
      <c r="C10" s="18" t="s">
        <v>16</v>
      </c>
      <c r="D10" s="18"/>
      <c r="E10" s="18"/>
      <c r="F10" s="18"/>
      <c r="G10" s="18"/>
      <c r="H10" s="18"/>
      <c r="I10" s="18"/>
      <c r="J10" s="18"/>
      <c r="K10" s="18"/>
      <c r="L10" s="18"/>
      <c r="M10" s="18"/>
    </row>
    <row r="11" spans="1:15">
      <c r="A11" s="3" t="s">
        <v>6</v>
      </c>
      <c r="B11" s="7">
        <v>65</v>
      </c>
      <c r="C11" s="18" t="s">
        <v>37</v>
      </c>
      <c r="D11" s="18"/>
      <c r="E11" s="18"/>
      <c r="F11" s="18"/>
      <c r="G11" s="18"/>
      <c r="H11" s="18"/>
      <c r="I11" s="18"/>
      <c r="J11" s="18"/>
      <c r="K11" s="18"/>
      <c r="L11" s="18"/>
      <c r="M11" s="18"/>
    </row>
    <row r="12" spans="1:15">
      <c r="A12" s="3" t="s">
        <v>7</v>
      </c>
      <c r="B12" s="7">
        <v>0</v>
      </c>
      <c r="C12" s="18" t="s">
        <v>38</v>
      </c>
      <c r="D12" s="18"/>
      <c r="E12" s="18"/>
      <c r="F12" s="18"/>
      <c r="G12" s="18"/>
      <c r="H12" s="18"/>
      <c r="I12" s="18"/>
      <c r="J12" s="18"/>
      <c r="K12" s="18"/>
      <c r="L12" s="18"/>
      <c r="M12" s="18"/>
    </row>
    <row r="13" spans="1:15">
      <c r="A13" s="3" t="s">
        <v>8</v>
      </c>
      <c r="B13" s="7">
        <v>0</v>
      </c>
      <c r="C13" s="18" t="s">
        <v>39</v>
      </c>
      <c r="D13" s="18"/>
      <c r="E13" s="18"/>
      <c r="F13" s="18"/>
      <c r="G13" s="18"/>
      <c r="H13" s="18"/>
      <c r="I13" s="18"/>
      <c r="J13" s="18"/>
      <c r="K13" s="18"/>
      <c r="L13" s="18"/>
      <c r="M13" s="18"/>
    </row>
    <row r="14" spans="1:15">
      <c r="A14" s="3" t="s">
        <v>9</v>
      </c>
      <c r="B14" s="8">
        <v>0</v>
      </c>
      <c r="C14" s="18" t="s">
        <v>10</v>
      </c>
      <c r="D14" s="18"/>
      <c r="E14" s="18"/>
      <c r="F14" s="18"/>
      <c r="G14" s="18"/>
      <c r="H14" s="18"/>
      <c r="I14" s="18"/>
      <c r="J14" s="18"/>
      <c r="K14" s="18"/>
      <c r="L14" s="18"/>
      <c r="M14" s="18"/>
    </row>
    <row r="15" spans="1:15" ht="15">
      <c r="A15" s="3" t="s">
        <v>17</v>
      </c>
      <c r="B15" s="9">
        <f>MAX(B11-B7,0)</f>
        <v>0</v>
      </c>
      <c r="C15" s="18" t="s">
        <v>18</v>
      </c>
      <c r="D15" s="18"/>
      <c r="E15" s="18"/>
      <c r="F15" s="18"/>
      <c r="G15" s="18"/>
      <c r="H15" s="18"/>
      <c r="I15" s="18"/>
      <c r="J15" s="18"/>
      <c r="K15" s="18"/>
      <c r="L15" s="18"/>
      <c r="M15" s="18"/>
    </row>
    <row r="16" spans="1:15" ht="15">
      <c r="A16" s="3" t="s">
        <v>19</v>
      </c>
      <c r="B16" s="9" cm="1">
        <f t="array" ref="B16">IF(B15=0,1,INDEX(F22:F142,B15+1))</f>
        <v>1</v>
      </c>
      <c r="C16" s="18" t="s">
        <v>20</v>
      </c>
      <c r="D16" s="18"/>
      <c r="E16" s="18"/>
      <c r="F16" s="18"/>
      <c r="G16" s="18"/>
      <c r="H16" s="18"/>
      <c r="I16" s="18"/>
      <c r="J16" s="18"/>
      <c r="K16" s="18"/>
      <c r="L16" s="18"/>
      <c r="M16" s="18"/>
    </row>
    <row r="17" spans="1:13" ht="15">
      <c r="A17" s="3" t="s">
        <v>21</v>
      </c>
      <c r="B17" s="9">
        <f>SUM(K22:K142)</f>
        <v>0</v>
      </c>
      <c r="C17" s="18" t="s">
        <v>22</v>
      </c>
      <c r="D17" s="18"/>
      <c r="E17" s="18"/>
      <c r="F17" s="18"/>
      <c r="G17" s="18"/>
      <c r="H17" s="18"/>
      <c r="I17" s="18"/>
      <c r="J17" s="18"/>
      <c r="K17" s="18"/>
      <c r="L17" s="18"/>
      <c r="M17" s="18"/>
    </row>
    <row r="18" spans="1:13" ht="15">
      <c r="A18" s="3" t="s">
        <v>23</v>
      </c>
      <c r="B18" s="9">
        <f ca="1">SUM(L22:L142)</f>
        <v>12.638911726141831</v>
      </c>
      <c r="C18" s="18" t="s">
        <v>24</v>
      </c>
      <c r="D18" s="18"/>
      <c r="E18" s="18"/>
      <c r="F18" s="18"/>
      <c r="G18" s="18"/>
      <c r="H18" s="18"/>
      <c r="I18" s="18"/>
      <c r="J18" s="18"/>
      <c r="K18" s="18"/>
      <c r="L18" s="18"/>
      <c r="M18" s="18"/>
    </row>
    <row r="19" spans="1:13" ht="15">
      <c r="A19" s="3" t="s">
        <v>25</v>
      </c>
      <c r="B19" s="9">
        <f ca="1">B17+B18</f>
        <v>12.638911726141831</v>
      </c>
      <c r="C19" s="18" t="s">
        <v>26</v>
      </c>
      <c r="D19" s="18"/>
      <c r="E19" s="18"/>
      <c r="F19" s="18"/>
      <c r="G19" s="18"/>
      <c r="H19" s="18"/>
      <c r="I19" s="18"/>
      <c r="J19" s="18"/>
      <c r="K19" s="18"/>
      <c r="L19" s="18"/>
      <c r="M19" s="18"/>
    </row>
    <row r="20" spans="1:1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ht="30">
      <c r="A21" s="6" t="s">
        <v>27</v>
      </c>
      <c r="B21" s="6" t="s">
        <v>28</v>
      </c>
      <c r="C21" s="6" t="s">
        <v>29</v>
      </c>
      <c r="D21" s="6" t="s">
        <v>51</v>
      </c>
      <c r="E21" s="6" t="s">
        <v>30</v>
      </c>
      <c r="F21" s="6" t="s">
        <v>31</v>
      </c>
      <c r="G21" s="6" t="s">
        <v>47</v>
      </c>
      <c r="H21" s="6" t="s">
        <v>32</v>
      </c>
      <c r="I21" s="6" t="s">
        <v>33</v>
      </c>
      <c r="J21" s="6" t="s">
        <v>34</v>
      </c>
      <c r="K21" s="6" t="s">
        <v>48</v>
      </c>
      <c r="L21" s="6" t="s">
        <v>49</v>
      </c>
      <c r="M21" s="6" t="s">
        <v>50</v>
      </c>
    </row>
    <row r="22" spans="1:13">
      <c r="A22" s="10">
        <v>0</v>
      </c>
      <c r="B22" s="10">
        <f t="shared" ref="B22:B85" si="0">$B$7+A22</f>
        <v>65</v>
      </c>
      <c r="C22" s="11">
        <f ca="1">OFFSET(Mort_Start,MATCH(MIN(120,B22),Mort_Age_Range,0),0)</f>
        <v>7.2899999999999996E-3</v>
      </c>
      <c r="D22" s="20">
        <f>IF(A22&lt;5,$B$8,IF(A22&lt;20,$B$9,$B$10))</f>
        <v>0.03</v>
      </c>
      <c r="E22" s="3" t="b">
        <f>AND(A22&gt;=$B$15,A22&lt;$B$15+$B$12)</f>
        <v>0</v>
      </c>
      <c r="F22" s="12">
        <f>1</f>
        <v>1</v>
      </c>
      <c r="G22" s="12">
        <f t="shared" ref="G22:G85" si="1">IF(D22=0,1,(1+D22)^-A22)</f>
        <v>1</v>
      </c>
      <c r="H22" s="12">
        <f ca="1">13/24+11/24/(1+D22)*(1-C22)</f>
        <v>0.98340655339805827</v>
      </c>
      <c r="I22" s="12">
        <f>(1+$B$14)^(A22-$B$15)</f>
        <v>1</v>
      </c>
      <c r="J22" s="3" t="b">
        <f>AND(A22&gt;=$B$15+$B$12,OR($B$13=0,A22&lt;$B$15+$B$13))</f>
        <v>1</v>
      </c>
      <c r="K22" s="12">
        <f>IF(E22,$B$16*I22*G22*IF(D22=0,1,(1-(1+D22)^-1)/(12*(1-(1+D22)^(-1/12)))),0)</f>
        <v>0</v>
      </c>
      <c r="L22" s="12">
        <f ca="1">IF(J22,I22*G22*F22*H22,0)</f>
        <v>0.98340655339805827</v>
      </c>
      <c r="M22" s="12">
        <f ca="1">K22+L22</f>
        <v>0.98340655339805827</v>
      </c>
    </row>
    <row r="23" spans="1:13">
      <c r="A23" s="10">
        <v>1</v>
      </c>
      <c r="B23" s="10">
        <f t="shared" si="0"/>
        <v>66</v>
      </c>
      <c r="C23" s="11">
        <f ca="1">OFFSET(Mort_Start,MATCH(MIN(120,B23),Mort_Age_Range,0),0)</f>
        <v>8.1899999999999994E-3</v>
      </c>
      <c r="D23" s="20">
        <f>IF(A23&lt;5,$B$8,IF(A23&lt;20,$B$9,$B$10))</f>
        <v>0.03</v>
      </c>
      <c r="E23" s="3" t="b">
        <f>AND(A23&gt;=$B$15,A23&lt;$B$15+$B$12)</f>
        <v>0</v>
      </c>
      <c r="F23" s="12">
        <f ca="1">IF(A23=0,1,F22*(1-C22))</f>
        <v>0.99270999999999998</v>
      </c>
      <c r="G23" s="12">
        <f t="shared" si="1"/>
        <v>0.970873786407767</v>
      </c>
      <c r="H23" s="12">
        <f ca="1">13/24+11/24/(1+D23)*(1-C23)</f>
        <v>0.98300606796116496</v>
      </c>
      <c r="I23" s="12">
        <f>(1+$B$14)^(A23-$B$15)</f>
        <v>1</v>
      </c>
      <c r="J23" s="3" t="b">
        <f>AND(A23&gt;=$B$15+$B$12,OR($B$13=0,A23&lt;$B$15+$B$13))</f>
        <v>1</v>
      </c>
      <c r="K23" s="12">
        <f>IF(E23,$B$16*I23*G23*IF(D23=0,1,(1-(1+D23)^-1)/(12*(1-(1+D23)^(-1/12)))),0)</f>
        <v>0</v>
      </c>
      <c r="L23" s="12">
        <f ca="1">IF(J23,I23*G23*F23*H23,0)</f>
        <v>0.94741743080167784</v>
      </c>
      <c r="M23" s="12">
        <f ca="1">K23+L23</f>
        <v>0.94741743080167784</v>
      </c>
    </row>
    <row r="24" spans="1:13">
      <c r="A24" s="10">
        <v>2</v>
      </c>
      <c r="B24" s="10">
        <f t="shared" si="0"/>
        <v>67</v>
      </c>
      <c r="C24" s="11">
        <f ca="1">OFFSET(Mort_Start,MATCH(MIN(120,B24),Mort_Age_Range,0),0)</f>
        <v>9.0600000000000003E-3</v>
      </c>
      <c r="D24" s="20">
        <f>IF(A24&lt;5,$B$8,IF(A24&lt;20,$B$9,$B$10))</f>
        <v>0.03</v>
      </c>
      <c r="E24" s="3" t="b">
        <f>AND(A24&gt;=$B$15,A24&lt;$B$15+$B$12)</f>
        <v>0</v>
      </c>
      <c r="F24" s="12">
        <f ca="1">IF(A24=0,1,F23*(1-C23))</f>
        <v>0.98457970509999992</v>
      </c>
      <c r="G24" s="12">
        <f t="shared" si="1"/>
        <v>0.94259590913375435</v>
      </c>
      <c r="H24" s="12">
        <f ca="1">13/24+11/24/(1+D24)*(1-C24)</f>
        <v>0.98261893203883499</v>
      </c>
      <c r="I24" s="12">
        <f>(1+$B$14)^(A24-$B$15)</f>
        <v>1</v>
      </c>
      <c r="J24" s="3" t="b">
        <f>AND(A24&gt;=$B$15+$B$12,OR($B$13=0,A24&lt;$B$15+$B$13))</f>
        <v>1</v>
      </c>
      <c r="K24" s="12">
        <f>IF(E24,$B$16*I24*G24*IF(D24=0,1,(1-(1+D24)^-1)/(12*(1-(1+D24)^(-1/12)))),0)</f>
        <v>0</v>
      </c>
      <c r="L24" s="12">
        <f ca="1">IF(J24,I24*G24*F24*H24,0)</f>
        <v>0.91193011436749272</v>
      </c>
      <c r="M24" s="12">
        <f ca="1">K24+L24</f>
        <v>0.91193011436749272</v>
      </c>
    </row>
    <row r="25" spans="1:13">
      <c r="A25" s="10">
        <v>3</v>
      </c>
      <c r="B25" s="10">
        <f t="shared" si="0"/>
        <v>68</v>
      </c>
      <c r="C25" s="11">
        <f ca="1">OFFSET(Mort_Start,MATCH(MIN(120,B25),Mort_Age_Range,0),0)</f>
        <v>1.001E-2</v>
      </c>
      <c r="D25" s="20">
        <f>IF(A25&lt;5,$B$8,IF(A25&lt;20,$B$9,$B$10))</f>
        <v>0.03</v>
      </c>
      <c r="E25" s="3" t="b">
        <f>AND(A25&gt;=$B$15,A25&lt;$B$15+$B$12)</f>
        <v>0</v>
      </c>
      <c r="F25" s="12">
        <f ca="1">IF(A25=0,1,F24*(1-C24))</f>
        <v>0.97565941297179393</v>
      </c>
      <c r="G25" s="12">
        <f t="shared" si="1"/>
        <v>0.91514165935315961</v>
      </c>
      <c r="H25" s="12">
        <f ca="1">13/24+11/24/(1+D25)*(1-C25)</f>
        <v>0.98219619741100317</v>
      </c>
      <c r="I25" s="12">
        <f>(1+$B$14)^(A25-$B$15)</f>
        <v>1</v>
      </c>
      <c r="J25" s="3" t="b">
        <f>AND(A25&gt;=$B$15+$B$12,OR($B$13=0,A25&lt;$B$15+$B$13))</f>
        <v>1</v>
      </c>
      <c r="K25" s="12">
        <f>IF(E25,$B$16*I25*G25*IF(D25=0,1,(1-(1+D25)^-1)/(12*(1-(1+D25)^(-1/12)))),0)</f>
        <v>0</v>
      </c>
      <c r="L25" s="12">
        <f ca="1">IF(J25,I25*G25*F25*H25,0)</f>
        <v>0.87697015392604705</v>
      </c>
      <c r="M25" s="12">
        <f ca="1">K25+L25</f>
        <v>0.87697015392604705</v>
      </c>
    </row>
    <row r="26" spans="1:13">
      <c r="A26" s="10">
        <v>4</v>
      </c>
      <c r="B26" s="10">
        <f t="shared" si="0"/>
        <v>69</v>
      </c>
      <c r="C26" s="11">
        <f ca="1">OFFSET(Mort_Start,MATCH(MIN(120,B26),Mort_Age_Range,0),0)</f>
        <v>1.108E-2</v>
      </c>
      <c r="D26" s="20">
        <f>IF(A26&lt;5,$B$8,IF(A26&lt;20,$B$9,$B$10))</f>
        <v>0.03</v>
      </c>
      <c r="E26" s="3" t="b">
        <f>AND(A26&gt;=$B$15,A26&lt;$B$15+$B$12)</f>
        <v>0</v>
      </c>
      <c r="F26" s="12">
        <f ca="1">IF(A26=0,1,F25*(1-C25))</f>
        <v>0.96589306224794635</v>
      </c>
      <c r="G26" s="12">
        <f t="shared" si="1"/>
        <v>0.888487047915689</v>
      </c>
      <c r="H26" s="12">
        <f ca="1">13/24+11/24/(1+D26)*(1-C26)</f>
        <v>0.98172006472491913</v>
      </c>
      <c r="I26" s="12">
        <f>(1+$B$14)^(A26-$B$15)</f>
        <v>1</v>
      </c>
      <c r="J26" s="3" t="b">
        <f>AND(A26&gt;=$B$15+$B$12,OR($B$13=0,A26&lt;$B$15+$B$13))</f>
        <v>1</v>
      </c>
      <c r="K26" s="12">
        <f>IF(E26,$B$16*I26*G26*IF(D26=0,1,(1-(1+D26)^-1)/(12*(1-(1+D26)^(-1/12)))),0)</f>
        <v>0</v>
      </c>
      <c r="L26" s="12">
        <f ca="1">IF(J26,I26*G26*F26*H26,0)</f>
        <v>0.84249593709302406</v>
      </c>
      <c r="M26" s="12">
        <f ca="1">K26+L26</f>
        <v>0.84249593709302406</v>
      </c>
    </row>
    <row r="27" spans="1:13">
      <c r="A27" s="10">
        <v>5</v>
      </c>
      <c r="B27" s="10">
        <f t="shared" si="0"/>
        <v>70</v>
      </c>
      <c r="C27" s="11">
        <f ca="1">OFFSET(Mort_Start,MATCH(MIN(120,B27),Mort_Age_Range,0),0)</f>
        <v>1.2319999999999999E-2</v>
      </c>
      <c r="D27" s="20">
        <f>IF(A27&lt;5,$B$8,IF(A27&lt;20,$B$9,$B$10))</f>
        <v>0.05</v>
      </c>
      <c r="E27" s="3" t="b">
        <f>AND(A27&gt;=$B$15,A27&lt;$B$15+$B$12)</f>
        <v>0</v>
      </c>
      <c r="F27" s="12">
        <f ca="1">IF(A27=0,1,F26*(1-C26))</f>
        <v>0.95519096711823914</v>
      </c>
      <c r="G27" s="12">
        <f t="shared" si="1"/>
        <v>0.78352616646845896</v>
      </c>
      <c r="H27" s="12">
        <f ca="1">13/24+11/24/(1+D27)*(1-C27)</f>
        <v>0.97279682539682533</v>
      </c>
      <c r="I27" s="12">
        <f>(1+$B$14)^(A27-$B$15)</f>
        <v>1</v>
      </c>
      <c r="J27" s="3" t="b">
        <f>AND(A27&gt;=$B$15+$B$12,OR($B$13=0,A27&lt;$B$15+$B$13))</f>
        <v>1</v>
      </c>
      <c r="K27" s="12">
        <f>IF(E27,$B$16*I27*G27*IF(D27=0,1,(1-(1+D27)^-1)/(12*(1-(1+D27)^(-1/12)))),0)</f>
        <v>0</v>
      </c>
      <c r="L27" s="12">
        <f ca="1">IF(J27,I27*G27*F27*H27,0)</f>
        <v>0.7280577952095475</v>
      </c>
      <c r="M27" s="12">
        <f ca="1">K27+L27</f>
        <v>0.7280577952095475</v>
      </c>
    </row>
    <row r="28" spans="1:13">
      <c r="A28" s="10">
        <v>6</v>
      </c>
      <c r="B28" s="10">
        <f t="shared" si="0"/>
        <v>71</v>
      </c>
      <c r="C28" s="11">
        <f ca="1">OFFSET(Mort_Start,MATCH(MIN(120,B28),Mort_Age_Range,0),0)</f>
        <v>1.374E-2</v>
      </c>
      <c r="D28" s="20">
        <f>IF(A28&lt;5,$B$8,IF(A28&lt;20,$B$9,$B$10))</f>
        <v>0.05</v>
      </c>
      <c r="E28" s="3" t="b">
        <f>AND(A28&gt;=$B$15,A28&lt;$B$15+$B$12)</f>
        <v>0</v>
      </c>
      <c r="F28" s="12">
        <f ca="1">IF(A28=0,1,F27*(1-C27))</f>
        <v>0.94342301440334242</v>
      </c>
      <c r="G28" s="12">
        <f t="shared" si="1"/>
        <v>0.74621539663662761</v>
      </c>
      <c r="H28" s="12">
        <f ca="1">13/24+11/24/(1+D28)*(1-C28)</f>
        <v>0.97217698412698406</v>
      </c>
      <c r="I28" s="12">
        <f>(1+$B$14)^(A28-$B$15)</f>
        <v>1</v>
      </c>
      <c r="J28" s="3" t="b">
        <f>AND(A28&gt;=$B$15+$B$12,OR($B$13=0,A28&lt;$B$15+$B$13))</f>
        <v>1</v>
      </c>
      <c r="K28" s="12">
        <f>IF(E28,$B$16*I28*G28*IF(D28=0,1,(1-(1+D28)^-1)/(12*(1-(1+D28)^(-1/12)))),0)</f>
        <v>0</v>
      </c>
      <c r="L28" s="12">
        <f ca="1">IF(J28,I28*G28*F28*H28,0)</f>
        <v>0.68440946533552915</v>
      </c>
      <c r="M28" s="12">
        <f ca="1">K28+L28</f>
        <v>0.68440946533552915</v>
      </c>
    </row>
    <row r="29" spans="1:13">
      <c r="A29" s="10">
        <v>7</v>
      </c>
      <c r="B29" s="10">
        <f t="shared" si="0"/>
        <v>72</v>
      </c>
      <c r="C29" s="11">
        <f ca="1">OFFSET(Mort_Start,MATCH(MIN(120,B29),Mort_Age_Range,0),0)</f>
        <v>1.5350000000000001E-2</v>
      </c>
      <c r="D29" s="20">
        <f>IF(A29&lt;5,$B$8,IF(A29&lt;20,$B$9,$B$10))</f>
        <v>0.05</v>
      </c>
      <c r="E29" s="3" t="b">
        <f>AND(A29&gt;=$B$15,A29&lt;$B$15+$B$12)</f>
        <v>0</v>
      </c>
      <c r="F29" s="12">
        <f ca="1">IF(A29=0,1,F28*(1-C28))</f>
        <v>0.93046038218544047</v>
      </c>
      <c r="G29" s="12">
        <f t="shared" si="1"/>
        <v>0.71068133013012147</v>
      </c>
      <c r="H29" s="12">
        <f ca="1">13/24+11/24/(1+D29)*(1-C29)</f>
        <v>0.97147420634920634</v>
      </c>
      <c r="I29" s="12">
        <f>(1+$B$14)^(A29-$B$15)</f>
        <v>1</v>
      </c>
      <c r="J29" s="3" t="b">
        <f>AND(A29&gt;=$B$15+$B$12,OR($B$13=0,A29&lt;$B$15+$B$13))</f>
        <v>1</v>
      </c>
      <c r="K29" s="12">
        <f>IF(E29,$B$16*I29*G29*IF(D29=0,1,(1-(1+D29)^-1)/(12*(1-(1+D29)^(-1/12)))),0)</f>
        <v>0</v>
      </c>
      <c r="L29" s="12">
        <f ca="1">IF(J29,I29*G29*F29*H29,0)</f>
        <v>0.64239783228592207</v>
      </c>
      <c r="M29" s="12">
        <f ca="1">K29+L29</f>
        <v>0.64239783228592207</v>
      </c>
    </row>
    <row r="30" spans="1:13">
      <c r="A30" s="10">
        <v>8</v>
      </c>
      <c r="B30" s="10">
        <f t="shared" si="0"/>
        <v>73</v>
      </c>
      <c r="C30" s="11">
        <f ca="1">OFFSET(Mort_Start,MATCH(MIN(120,B30),Mort_Age_Range,0),0)</f>
        <v>1.7170000000000001E-2</v>
      </c>
      <c r="D30" s="20">
        <f>IF(A30&lt;5,$B$8,IF(A30&lt;20,$B$9,$B$10))</f>
        <v>0.05</v>
      </c>
      <c r="E30" s="3" t="b">
        <f>AND(A30&gt;=$B$15,A30&lt;$B$15+$B$12)</f>
        <v>0</v>
      </c>
      <c r="F30" s="12">
        <f ca="1">IF(A30=0,1,F29*(1-C29))</f>
        <v>0.91617781531889397</v>
      </c>
      <c r="G30" s="12">
        <f t="shared" si="1"/>
        <v>0.67683936202868722</v>
      </c>
      <c r="H30" s="12">
        <f ca="1">13/24+11/24/(1+D30)*(1-C30)</f>
        <v>0.9706797619047618</v>
      </c>
      <c r="I30" s="12">
        <f>(1+$B$14)^(A30-$B$15)</f>
        <v>1</v>
      </c>
      <c r="J30" s="3" t="b">
        <f>AND(A30&gt;=$B$15+$B$12,OR($B$13=0,A30&lt;$B$15+$B$13))</f>
        <v>1</v>
      </c>
      <c r="K30" s="12">
        <f>IF(E30,$B$16*I30*G30*IF(D30=0,1,(1-(1+D30)^-1)/(12*(1-(1+D30)^(-1/12)))),0)</f>
        <v>0</v>
      </c>
      <c r="L30" s="12">
        <f ca="1">IF(J30,I30*G30*F30*H30,0)</f>
        <v>0.60192357568187826</v>
      </c>
      <c r="M30" s="12">
        <f ca="1">K30+L30</f>
        <v>0.60192357568187826</v>
      </c>
    </row>
    <row r="31" spans="1:13">
      <c r="A31" s="10">
        <v>9</v>
      </c>
      <c r="B31" s="10">
        <f t="shared" si="0"/>
        <v>74</v>
      </c>
      <c r="C31" s="11">
        <f ca="1">OFFSET(Mort_Start,MATCH(MIN(120,B31),Mort_Age_Range,0),0)</f>
        <v>1.9279999999999999E-2</v>
      </c>
      <c r="D31" s="20">
        <f>IF(A31&lt;5,$B$8,IF(A31&lt;20,$B$9,$B$10))</f>
        <v>0.05</v>
      </c>
      <c r="E31" s="3" t="b">
        <f>AND(A31&gt;=$B$15,A31&lt;$B$15+$B$12)</f>
        <v>0</v>
      </c>
      <c r="F31" s="12">
        <f ca="1">IF(A31=0,1,F30*(1-C30))</f>
        <v>0.9004470422298686</v>
      </c>
      <c r="G31" s="12">
        <f t="shared" si="1"/>
        <v>0.64460891621779726</v>
      </c>
      <c r="H31" s="12">
        <f ca="1">13/24+11/24/(1+D31)*(1-C31)</f>
        <v>0.96975873015873004</v>
      </c>
      <c r="I31" s="12">
        <f>(1+$B$14)^(A31-$B$15)</f>
        <v>1</v>
      </c>
      <c r="J31" s="3" t="b">
        <f>AND(A31&gt;=$B$15+$B$12,OR($B$13=0,A31&lt;$B$15+$B$13))</f>
        <v>1</v>
      </c>
      <c r="K31" s="12">
        <f>IF(E31,$B$16*I31*G31*IF(D31=0,1,(1-(1+D31)^-1)/(12*(1-(1+D31)^(-1/12)))),0)</f>
        <v>0</v>
      </c>
      <c r="L31" s="12">
        <f ca="1">IF(J31,I31*G31*F31*H31,0)</f>
        <v>0.56288306449530523</v>
      </c>
      <c r="M31" s="12">
        <f ca="1">K31+L31</f>
        <v>0.56288306449530523</v>
      </c>
    </row>
    <row r="32" spans="1:13">
      <c r="A32" s="10">
        <v>10</v>
      </c>
      <c r="B32" s="10">
        <f t="shared" si="0"/>
        <v>75</v>
      </c>
      <c r="C32" s="11">
        <f ca="1">OFFSET(Mort_Start,MATCH(MIN(120,B32),Mort_Age_Range,0),0)</f>
        <v>2.1700000000000001E-2</v>
      </c>
      <c r="D32" s="20">
        <f>IF(A32&lt;5,$B$8,IF(A32&lt;20,$B$9,$B$10))</f>
        <v>0.05</v>
      </c>
      <c r="E32" s="3" t="b">
        <f>AND(A32&gt;=$B$15,A32&lt;$B$15+$B$12)</f>
        <v>0</v>
      </c>
      <c r="F32" s="12">
        <f ca="1">IF(A32=0,1,F31*(1-C31))</f>
        <v>0.88308642325567677</v>
      </c>
      <c r="G32" s="12">
        <f t="shared" si="1"/>
        <v>0.61391325354075932</v>
      </c>
      <c r="H32" s="12">
        <f ca="1">13/24+11/24/(1+D32)*(1-C32)</f>
        <v>0.96870238095238081</v>
      </c>
      <c r="I32" s="12">
        <f>(1+$B$14)^(A32-$B$15)</f>
        <v>1</v>
      </c>
      <c r="J32" s="3" t="b">
        <f>AND(A32&gt;=$B$15+$B$12,OR($B$13=0,A32&lt;$B$15+$B$13))</f>
        <v>1</v>
      </c>
      <c r="K32" s="12">
        <f>IF(E32,$B$16*I32*G32*IF(D32=0,1,(1-(1+D32)^-1)/(12*(1-(1+D32)^(-1/12)))),0)</f>
        <v>0</v>
      </c>
      <c r="L32" s="12">
        <f ca="1">IF(J32,I32*G32*F32*H32,0)</f>
        <v>0.52517081628962681</v>
      </c>
      <c r="M32" s="12">
        <f ca="1">K32+L32</f>
        <v>0.52517081628962681</v>
      </c>
    </row>
    <row r="33" spans="1:13">
      <c r="A33" s="10">
        <v>11</v>
      </c>
      <c r="B33" s="10">
        <f t="shared" si="0"/>
        <v>76</v>
      </c>
      <c r="C33" s="11">
        <f ca="1">OFFSET(Mort_Start,MATCH(MIN(120,B33),Mort_Age_Range,0),0)</f>
        <v>2.4469999999999999E-2</v>
      </c>
      <c r="D33" s="20">
        <f>IF(A33&lt;5,$B$8,IF(A33&lt;20,$B$9,$B$10))</f>
        <v>0.05</v>
      </c>
      <c r="E33" s="3" t="b">
        <f>AND(A33&gt;=$B$15,A33&lt;$B$15+$B$12)</f>
        <v>0</v>
      </c>
      <c r="F33" s="12">
        <f ca="1">IF(A33=0,1,F32*(1-C32))</f>
        <v>0.86392344787102848</v>
      </c>
      <c r="G33" s="12">
        <f t="shared" si="1"/>
        <v>0.5846792890864374</v>
      </c>
      <c r="H33" s="12">
        <f ca="1">13/24+11/24/(1+D33)*(1-C33)</f>
        <v>0.96749325396825392</v>
      </c>
      <c r="I33" s="12">
        <f>(1+$B$14)^(A33-$B$15)</f>
        <v>1</v>
      </c>
      <c r="J33" s="3" t="b">
        <f>AND(A33&gt;=$B$15+$B$12,OR($B$13=0,A33&lt;$B$15+$B$13))</f>
        <v>1</v>
      </c>
      <c r="K33" s="12">
        <f>IF(E33,$B$16*I33*G33*IF(D33=0,1,(1-(1+D33)^-1)/(12*(1-(1+D33)^(-1/12)))),0)</f>
        <v>0</v>
      </c>
      <c r="L33" s="12">
        <f ca="1">IF(J33,I33*G33*F33*H33,0)</f>
        <v>0.48869839999517345</v>
      </c>
      <c r="M33" s="12">
        <f ca="1">K33+L33</f>
        <v>0.48869839999517345</v>
      </c>
    </row>
    <row r="34" spans="1:13">
      <c r="A34" s="10">
        <v>12</v>
      </c>
      <c r="B34" s="10">
        <f t="shared" si="0"/>
        <v>77</v>
      </c>
      <c r="C34" s="11">
        <f ca="1">OFFSET(Mort_Start,MATCH(MIN(120,B34),Mort_Age_Range,0),0)</f>
        <v>2.7609999999999999E-2</v>
      </c>
      <c r="D34" s="20">
        <f>IF(A34&lt;5,$B$8,IF(A34&lt;20,$B$9,$B$10))</f>
        <v>0.05</v>
      </c>
      <c r="E34" s="3" t="b">
        <f>AND(A34&gt;=$B$15,A34&lt;$B$15+$B$12)</f>
        <v>0</v>
      </c>
      <c r="F34" s="12">
        <f ca="1">IF(A34=0,1,F33*(1-C33))</f>
        <v>0.84278324110162439</v>
      </c>
      <c r="G34" s="12">
        <f t="shared" si="1"/>
        <v>0.5568374181775595</v>
      </c>
      <c r="H34" s="12">
        <f ca="1">13/24+11/24/(1+D34)*(1-C34)</f>
        <v>0.96612261904761887</v>
      </c>
      <c r="I34" s="12">
        <f>(1+$B$14)^(A34-$B$15)</f>
        <v>1</v>
      </c>
      <c r="J34" s="3" t="b">
        <f>AND(A34&gt;=$B$15+$B$12,OR($B$13=0,A34&lt;$B$15+$B$13))</f>
        <v>1</v>
      </c>
      <c r="K34" s="12">
        <f>IF(E34,$B$16*I34*G34*IF(D34=0,1,(1-(1+D34)^-1)/(12*(1-(1+D34)^(-1/12)))),0)</f>
        <v>0</v>
      </c>
      <c r="L34" s="12">
        <f ca="1">IF(J34,I34*G34*F34*H34,0)</f>
        <v>0.45339481805100085</v>
      </c>
      <c r="M34" s="12">
        <f ca="1">K34+L34</f>
        <v>0.45339481805100085</v>
      </c>
    </row>
    <row r="35" spans="1:13">
      <c r="A35" s="10">
        <v>13</v>
      </c>
      <c r="B35" s="10">
        <f t="shared" si="0"/>
        <v>78</v>
      </c>
      <c r="C35" s="11">
        <f ca="1">OFFSET(Mort_Start,MATCH(MIN(120,B35),Mort_Age_Range,0),0)</f>
        <v>3.1199999999999999E-2</v>
      </c>
      <c r="D35" s="20">
        <f>IF(A35&lt;5,$B$8,IF(A35&lt;20,$B$9,$B$10))</f>
        <v>0.05</v>
      </c>
      <c r="E35" s="3" t="b">
        <f>AND(A35&gt;=$B$15,A35&lt;$B$15+$B$12)</f>
        <v>0</v>
      </c>
      <c r="F35" s="12">
        <f ca="1">IF(A35=0,1,F34*(1-C34))</f>
        <v>0.81951399581480855</v>
      </c>
      <c r="G35" s="12">
        <f t="shared" si="1"/>
        <v>0.53032135064529462</v>
      </c>
      <c r="H35" s="12">
        <f ca="1">13/24+11/24/(1+D35)*(1-C35)</f>
        <v>0.96455555555555539</v>
      </c>
      <c r="I35" s="12">
        <f>(1+$B$14)^(A35-$B$15)</f>
        <v>1</v>
      </c>
      <c r="J35" s="3" t="b">
        <f>AND(A35&gt;=$B$15+$B$12,OR($B$13=0,A35&lt;$B$15+$B$13))</f>
        <v>1</v>
      </c>
      <c r="K35" s="12">
        <f>IF(E35,$B$16*I35*G35*IF(D35=0,1,(1-(1+D35)^-1)/(12*(1-(1+D35)^(-1/12)))),0)</f>
        <v>0</v>
      </c>
      <c r="L35" s="12">
        <f ca="1">IF(J35,I35*G35*F35*H35,0)</f>
        <v>0.41920140909395365</v>
      </c>
      <c r="M35" s="12">
        <f ca="1">K35+L35</f>
        <v>0.41920140909395365</v>
      </c>
    </row>
    <row r="36" spans="1:13">
      <c r="A36" s="10">
        <v>14</v>
      </c>
      <c r="B36" s="10">
        <f t="shared" si="0"/>
        <v>79</v>
      </c>
      <c r="C36" s="11">
        <f ca="1">OFFSET(Mort_Start,MATCH(MIN(120,B36),Mort_Age_Range,0),0)</f>
        <v>3.5279999999999999E-2</v>
      </c>
      <c r="D36" s="20">
        <f>IF(A36&lt;5,$B$8,IF(A36&lt;20,$B$9,$B$10))</f>
        <v>0.05</v>
      </c>
      <c r="E36" s="3" t="b">
        <f>AND(A36&gt;=$B$15,A36&lt;$B$15+$B$12)</f>
        <v>0</v>
      </c>
      <c r="F36" s="12">
        <f ca="1">IF(A36=0,1,F35*(1-C35))</f>
        <v>0.79394515914538655</v>
      </c>
      <c r="G36" s="12">
        <f t="shared" si="1"/>
        <v>0.50506795299551888</v>
      </c>
      <c r="H36" s="12">
        <f ca="1">13/24+11/24/(1+D36)*(1-C36)</f>
        <v>0.96277460317460317</v>
      </c>
      <c r="I36" s="12">
        <f>(1+$B$14)^(A36-$B$15)</f>
        <v>1</v>
      </c>
      <c r="J36" s="3" t="b">
        <f>AND(A36&gt;=$B$15+$B$12,OR($B$13=0,A36&lt;$B$15+$B$13))</f>
        <v>1</v>
      </c>
      <c r="K36" s="12">
        <f>IF(E36,$B$16*I36*G36*IF(D36=0,1,(1-(1+D36)^-1)/(12*(1-(1+D36)^(-1/12)))),0)</f>
        <v>0</v>
      </c>
      <c r="L36" s="12">
        <f ca="1">IF(J36,I36*G36*F36*H36,0)</f>
        <v>0.38606901155324158</v>
      </c>
      <c r="M36" s="12">
        <f ca="1">K36+L36</f>
        <v>0.38606901155324158</v>
      </c>
    </row>
    <row r="37" spans="1:13">
      <c r="A37" s="10">
        <v>15</v>
      </c>
      <c r="B37" s="10">
        <f t="shared" si="0"/>
        <v>80</v>
      </c>
      <c r="C37" s="11">
        <f ca="1">OFFSET(Mort_Start,MATCH(MIN(120,B37),Mort_Age_Range,0),0)</f>
        <v>4.0149999999999998E-2</v>
      </c>
      <c r="D37" s="20">
        <f>IF(A37&lt;5,$B$8,IF(A37&lt;20,$B$9,$B$10))</f>
        <v>0.05</v>
      </c>
      <c r="E37" s="3" t="b">
        <f>AND(A37&gt;=$B$15,A37&lt;$B$15+$B$12)</f>
        <v>0</v>
      </c>
      <c r="F37" s="12">
        <f ca="1">IF(A37=0,1,F36*(1-C36))</f>
        <v>0.76593477393073728</v>
      </c>
      <c r="G37" s="12">
        <f t="shared" si="1"/>
        <v>0.48101709809097021</v>
      </c>
      <c r="H37" s="12">
        <f ca="1">13/24+11/24/(1+D37)*(1-C37)</f>
        <v>0.96064880952380949</v>
      </c>
      <c r="I37" s="12">
        <f>(1+$B$14)^(A37-$B$15)</f>
        <v>1</v>
      </c>
      <c r="J37" s="3" t="b">
        <f>AND(A37&gt;=$B$15+$B$12,OR($B$13=0,A37&lt;$B$15+$B$13))</f>
        <v>1</v>
      </c>
      <c r="K37" s="12">
        <f>IF(E37,$B$16*I37*G37*IF(D37=0,1,(1-(1+D37)^-1)/(12*(1-(1+D37)^(-1/12)))),0)</f>
        <v>0</v>
      </c>
      <c r="L37" s="12">
        <f ca="1">IF(J37,I37*G37*F37*H37,0)</f>
        <v>0.35392965280685418</v>
      </c>
      <c r="M37" s="12">
        <f ca="1">K37+L37</f>
        <v>0.35392965280685418</v>
      </c>
    </row>
    <row r="38" spans="1:13">
      <c r="A38" s="10">
        <v>16</v>
      </c>
      <c r="B38" s="10">
        <f t="shared" si="0"/>
        <v>81</v>
      </c>
      <c r="C38" s="11">
        <f ca="1">OFFSET(Mort_Start,MATCH(MIN(120,B38),Mort_Age_Range,0),0)</f>
        <v>4.512E-2</v>
      </c>
      <c r="D38" s="20">
        <f>IF(A38&lt;5,$B$8,IF(A38&lt;20,$B$9,$B$10))</f>
        <v>0.05</v>
      </c>
      <c r="E38" s="3" t="b">
        <f>AND(A38&gt;=$B$15,A38&lt;$B$15+$B$12)</f>
        <v>0</v>
      </c>
      <c r="F38" s="12">
        <f ca="1">IF(A38=0,1,F37*(1-C37))</f>
        <v>0.7351824927574182</v>
      </c>
      <c r="G38" s="12">
        <f t="shared" si="1"/>
        <v>0.45811152199140021</v>
      </c>
      <c r="H38" s="12">
        <f ca="1">13/24+11/24/(1+D38)*(1-C38)</f>
        <v>0.95847936507936504</v>
      </c>
      <c r="I38" s="12">
        <f>(1+$B$14)^(A38-$B$15)</f>
        <v>1</v>
      </c>
      <c r="J38" s="3" t="b">
        <f>AND(A38&gt;=$B$15+$B$12,OR($B$13=0,A38&lt;$B$15+$B$13))</f>
        <v>1</v>
      </c>
      <c r="K38" s="12">
        <f>IF(E38,$B$16*I38*G38*IF(D38=0,1,(1-(1+D38)^-1)/(12*(1-(1+D38)^(-1/12)))),0)</f>
        <v>0</v>
      </c>
      <c r="L38" s="12">
        <f ca="1">IF(J38,I38*G38*F38*H38,0)</f>
        <v>0.32281160476467174</v>
      </c>
      <c r="M38" s="12">
        <f ca="1">K38+L38</f>
        <v>0.32281160476467174</v>
      </c>
    </row>
    <row r="39" spans="1:13">
      <c r="A39" s="10">
        <v>17</v>
      </c>
      <c r="B39" s="10">
        <f t="shared" si="0"/>
        <v>82</v>
      </c>
      <c r="C39" s="11">
        <f ca="1">OFFSET(Mort_Start,MATCH(MIN(120,B39),Mort_Age_Range,0),0)</f>
        <v>5.0700000000000002E-2</v>
      </c>
      <c r="D39" s="20">
        <f>IF(A39&lt;5,$B$8,IF(A39&lt;20,$B$9,$B$10))</f>
        <v>0.05</v>
      </c>
      <c r="E39" s="3" t="b">
        <f>AND(A39&gt;=$B$15,A39&lt;$B$15+$B$12)</f>
        <v>0</v>
      </c>
      <c r="F39" s="12">
        <f ca="1">IF(A39=0,1,F38*(1-C38))</f>
        <v>0.70201105868420344</v>
      </c>
      <c r="G39" s="12">
        <f t="shared" si="1"/>
        <v>0.43629668761085727</v>
      </c>
      <c r="H39" s="12">
        <f ca="1">13/24+11/24/(1+D39)*(1-C39)</f>
        <v>0.95604365079365072</v>
      </c>
      <c r="I39" s="12">
        <f>(1+$B$14)^(A39-$B$15)</f>
        <v>1</v>
      </c>
      <c r="J39" s="3" t="b">
        <f>AND(A39&gt;=$B$15+$B$12,OR($B$13=0,A39&lt;$B$15+$B$13))</f>
        <v>1</v>
      </c>
      <c r="K39" s="12">
        <f>IF(E39,$B$16*I39*G39*IF(D39=0,1,(1-(1+D39)^-1)/(12*(1-(1+D39)^(-1/12)))),0)</f>
        <v>0</v>
      </c>
      <c r="L39" s="12">
        <f ca="1">IF(J39,I39*G39*F39*H39,0)</f>
        <v>0.29282192477670388</v>
      </c>
      <c r="M39" s="12">
        <f ca="1">K39+L39</f>
        <v>0.29282192477670388</v>
      </c>
    </row>
    <row r="40" spans="1:13">
      <c r="A40" s="10">
        <v>18</v>
      </c>
      <c r="B40" s="10">
        <f t="shared" si="0"/>
        <v>83</v>
      </c>
      <c r="C40" s="11">
        <f ca="1">OFFSET(Mort_Start,MATCH(MIN(120,B40),Mort_Age_Range,0),0)</f>
        <v>5.697E-2</v>
      </c>
      <c r="D40" s="20">
        <f>IF(A40&lt;5,$B$8,IF(A40&lt;20,$B$9,$B$10))</f>
        <v>0.05</v>
      </c>
      <c r="E40" s="3" t="b">
        <f>AND(A40&gt;=$B$15,A40&lt;$B$15+$B$12)</f>
        <v>0</v>
      </c>
      <c r="F40" s="12">
        <f ca="1">IF(A40=0,1,F39*(1-C39))</f>
        <v>0.6664190980089143</v>
      </c>
      <c r="G40" s="12">
        <f t="shared" si="1"/>
        <v>0.41552065486748313</v>
      </c>
      <c r="H40" s="12">
        <f ca="1">13/24+11/24/(1+D40)*(1-C40)</f>
        <v>0.95330674603174592</v>
      </c>
      <c r="I40" s="12">
        <f>(1+$B$14)^(A40-$B$15)</f>
        <v>1</v>
      </c>
      <c r="J40" s="3" t="b">
        <f>AND(A40&gt;=$B$15+$B$12,OR($B$13=0,A40&lt;$B$15+$B$13))</f>
        <v>1</v>
      </c>
      <c r="K40" s="12">
        <f>IF(E40,$B$16*I40*G40*IF(D40=0,1,(1-(1+D40)^-1)/(12*(1-(1+D40)^(-1/12)))),0)</f>
        <v>0</v>
      </c>
      <c r="L40" s="12">
        <f ca="1">IF(J40,I40*G40*F40*H40,0)</f>
        <v>0.26398102903960957</v>
      </c>
      <c r="M40" s="12">
        <f ca="1">K40+L40</f>
        <v>0.26398102903960957</v>
      </c>
    </row>
    <row r="41" spans="1:13">
      <c r="A41" s="10">
        <v>19</v>
      </c>
      <c r="B41" s="10">
        <f t="shared" si="0"/>
        <v>84</v>
      </c>
      <c r="C41" s="11">
        <f ca="1">OFFSET(Mort_Start,MATCH(MIN(120,B41),Mort_Age_Range,0),0)</f>
        <v>6.4070000000000002E-2</v>
      </c>
      <c r="D41" s="20">
        <f>IF(A41&lt;5,$B$8,IF(A41&lt;20,$B$9,$B$10))</f>
        <v>0.05</v>
      </c>
      <c r="E41" s="3" t="b">
        <f>AND(A41&gt;=$B$15,A41&lt;$B$15+$B$12)</f>
        <v>0</v>
      </c>
      <c r="F41" s="12">
        <f ca="1">IF(A41=0,1,F40*(1-C40))</f>
        <v>0.62845320199534649</v>
      </c>
      <c r="G41" s="12">
        <f t="shared" si="1"/>
        <v>0.39573395701665059</v>
      </c>
      <c r="H41" s="12">
        <f ca="1">13/24+11/24/(1+D41)*(1-C41)</f>
        <v>0.95020753968253957</v>
      </c>
      <c r="I41" s="12">
        <f>(1+$B$14)^(A41-$B$15)</f>
        <v>1</v>
      </c>
      <c r="J41" s="3" t="b">
        <f>AND(A41&gt;=$B$15+$B$12,OR($B$13=0,A41&lt;$B$15+$B$13))</f>
        <v>1</v>
      </c>
      <c r="K41" s="12">
        <f>IF(E41,$B$16*I41*G41*IF(D41=0,1,(1-(1+D41)^-1)/(12*(1-(1+D41)^(-1/12)))),0)</f>
        <v>0</v>
      </c>
      <c r="L41" s="12">
        <f ca="1">IF(J41,I41*G41*F41*H41,0)</f>
        <v>0.2363168739797194</v>
      </c>
      <c r="M41" s="12">
        <f ca="1">K41+L41</f>
        <v>0.2363168739797194</v>
      </c>
    </row>
    <row r="42" spans="1:13">
      <c r="A42" s="10">
        <v>20</v>
      </c>
      <c r="B42" s="10">
        <f t="shared" si="0"/>
        <v>85</v>
      </c>
      <c r="C42" s="11">
        <f ca="1">OFFSET(Mort_Start,MATCH(MIN(120,B42),Mort_Age_Range,0),0)</f>
        <v>7.2160000000000002E-2</v>
      </c>
      <c r="D42" s="20">
        <f>IF(A42&lt;5,$B$8,IF(A42&lt;20,$B$9,$B$10))</f>
        <v>5.5E-2</v>
      </c>
      <c r="E42" s="3" t="b">
        <f>AND(A42&gt;=$B$15,A42&lt;$B$15+$B$12)</f>
        <v>0</v>
      </c>
      <c r="F42" s="12">
        <f ca="1">IF(A42=0,1,F41*(1-C41))</f>
        <v>0.58818820534350469</v>
      </c>
      <c r="G42" s="12">
        <f t="shared" si="1"/>
        <v>0.34272896332894381</v>
      </c>
      <c r="H42" s="12">
        <f ca="1">13/24+11/24/(1+D42)*(1-C42)</f>
        <v>0.94475671406003159</v>
      </c>
      <c r="I42" s="12">
        <f>(1+$B$14)^(A42-$B$15)</f>
        <v>1</v>
      </c>
      <c r="J42" s="3" t="b">
        <f>AND(A42&gt;=$B$15+$B$12,OR($B$13=0,A42&lt;$B$15+$B$13))</f>
        <v>1</v>
      </c>
      <c r="K42" s="12">
        <f>IF(E42,$B$16*I42*G42*IF(D42=0,1,(1-(1+D42)^-1)/(12*(1-(1+D42)^(-1/12)))),0)</f>
        <v>0</v>
      </c>
      <c r="L42" s="12">
        <f ca="1">IF(J42,I42*G42*F42*H42,0)</f>
        <v>0.19045268769548979</v>
      </c>
      <c r="M42" s="12">
        <f ca="1">K42+L42</f>
        <v>0.19045268769548979</v>
      </c>
    </row>
    <row r="43" spans="1:13">
      <c r="A43" s="10">
        <v>21</v>
      </c>
      <c r="B43" s="10">
        <f t="shared" si="0"/>
        <v>86</v>
      </c>
      <c r="C43" s="11">
        <f ca="1">OFFSET(Mort_Start,MATCH(MIN(120,B43),Mort_Age_Range,0),0)</f>
        <v>8.1390000000000004E-2</v>
      </c>
      <c r="D43" s="20">
        <f>IF(A43&lt;5,$B$8,IF(A43&lt;20,$B$9,$B$10))</f>
        <v>5.5E-2</v>
      </c>
      <c r="E43" s="3" t="b">
        <f>AND(A43&gt;=$B$15,A43&lt;$B$15+$B$12)</f>
        <v>0</v>
      </c>
      <c r="F43" s="12">
        <f ca="1">IF(A43=0,1,F42*(1-C42))</f>
        <v>0.54574454444591736</v>
      </c>
      <c r="G43" s="12">
        <f t="shared" si="1"/>
        <v>0.32486157661511261</v>
      </c>
      <c r="H43" s="12">
        <f ca="1">13/24+11/24/(1+D43)*(1-C43)</f>
        <v>0.94074684044233803</v>
      </c>
      <c r="I43" s="12">
        <f>(1+$B$14)^(A43-$B$15)</f>
        <v>1</v>
      </c>
      <c r="J43" s="3" t="b">
        <f>AND(A43&gt;=$B$15+$B$12,OR($B$13=0,A43&lt;$B$15+$B$13))</f>
        <v>1</v>
      </c>
      <c r="K43" s="12">
        <f>IF(E43,$B$16*I43*G43*IF(D43=0,1,(1-(1+D43)^-1)/(12*(1-(1+D43)^(-1/12)))),0)</f>
        <v>0</v>
      </c>
      <c r="L43" s="12">
        <f ca="1">IF(J43,I43*G43*F43*H43,0)</f>
        <v>0.16678635556187665</v>
      </c>
      <c r="M43" s="12">
        <f ca="1">K43+L43</f>
        <v>0.16678635556187665</v>
      </c>
    </row>
    <row r="44" spans="1:13">
      <c r="A44" s="10">
        <v>22</v>
      </c>
      <c r="B44" s="10">
        <f t="shared" si="0"/>
        <v>87</v>
      </c>
      <c r="C44" s="11">
        <f ca="1">OFFSET(Mort_Start,MATCH(MIN(120,B44),Mort_Age_Range,0),0)</f>
        <v>9.1819999999999999E-2</v>
      </c>
      <c r="D44" s="20">
        <f>IF(A44&lt;5,$B$8,IF(A44&lt;20,$B$9,$B$10))</f>
        <v>5.5E-2</v>
      </c>
      <c r="E44" s="3" t="b">
        <f>AND(A44&gt;=$B$15,A44&lt;$B$15+$B$12)</f>
        <v>0</v>
      </c>
      <c r="F44" s="12">
        <f ca="1">IF(A44=0,1,F43*(1-C43))</f>
        <v>0.50132639597346418</v>
      </c>
      <c r="G44" s="12">
        <f t="shared" si="1"/>
        <v>0.30792566503802149</v>
      </c>
      <c r="H44" s="12">
        <f ca="1">13/24+11/24/(1+D44)*(1-C44)</f>
        <v>0.93621563981042644</v>
      </c>
      <c r="I44" s="12">
        <f>(1+$B$14)^(A44-$B$15)</f>
        <v>1</v>
      </c>
      <c r="J44" s="3" t="b">
        <f>AND(A44&gt;=$B$15+$B$12,OR($B$13=0,A44&lt;$B$15+$B$13))</f>
        <v>1</v>
      </c>
      <c r="K44" s="12">
        <f>IF(E44,$B$16*I44*G44*IF(D44=0,1,(1-(1+D44)^-1)/(12*(1-(1+D44)^(-1/12)))),0)</f>
        <v>0</v>
      </c>
      <c r="L44" s="12">
        <f ca="1">IF(J44,I44*G44*F44*H44,0)</f>
        <v>0.1445247915829225</v>
      </c>
      <c r="M44" s="12">
        <f ca="1">K44+L44</f>
        <v>0.1445247915829225</v>
      </c>
    </row>
    <row r="45" spans="1:13">
      <c r="A45" s="10">
        <v>23</v>
      </c>
      <c r="B45" s="10">
        <f t="shared" si="0"/>
        <v>88</v>
      </c>
      <c r="C45" s="11">
        <f ca="1">OFFSET(Mort_Start,MATCH(MIN(120,B45),Mort_Age_Range,0),0)</f>
        <v>0.10363</v>
      </c>
      <c r="D45" s="20">
        <f>IF(A45&lt;5,$B$8,IF(A45&lt;20,$B$9,$B$10))</f>
        <v>5.5E-2</v>
      </c>
      <c r="E45" s="3" t="b">
        <f>AND(A45&gt;=$B$15,A45&lt;$B$15+$B$12)</f>
        <v>0</v>
      </c>
      <c r="F45" s="12">
        <f ca="1">IF(A45=0,1,F44*(1-C44))</f>
        <v>0.4552946062951807</v>
      </c>
      <c r="G45" s="12">
        <f t="shared" si="1"/>
        <v>0.29187266828248482</v>
      </c>
      <c r="H45" s="12">
        <f ca="1">13/24+11/24/(1+D45)*(1-C45)</f>
        <v>0.93108491311216435</v>
      </c>
      <c r="I45" s="12">
        <f>(1+$B$14)^(A45-$B$15)</f>
        <v>1</v>
      </c>
      <c r="J45" s="3" t="b">
        <f>AND(A45&gt;=$B$15+$B$12,OR($B$13=0,A45&lt;$B$15+$B$13))</f>
        <v>1</v>
      </c>
      <c r="K45" s="12">
        <f>IF(E45,$B$16*I45*G45*IF(D45=0,1,(1-(1+D45)^-1)/(12*(1-(1+D45)^(-1/12)))),0)</f>
        <v>0</v>
      </c>
      <c r="L45" s="12">
        <f ca="1">IF(J45,I45*G45*F45*H45,0)</f>
        <v>0.12373005997204226</v>
      </c>
      <c r="M45" s="12">
        <f ca="1">K45+L45</f>
        <v>0.12373005997204226</v>
      </c>
    </row>
    <row r="46" spans="1:13">
      <c r="A46" s="10">
        <v>24</v>
      </c>
      <c r="B46" s="10">
        <f t="shared" si="0"/>
        <v>89</v>
      </c>
      <c r="C46" s="11">
        <f ca="1">OFFSET(Mort_Start,MATCH(MIN(120,B46),Mort_Age_Range,0),0)</f>
        <v>0.11672</v>
      </c>
      <c r="D46" s="20">
        <f>IF(A46&lt;5,$B$8,IF(A46&lt;20,$B$9,$B$10))</f>
        <v>5.5E-2</v>
      </c>
      <c r="E46" s="3" t="b">
        <f>AND(A46&gt;=$B$15,A46&lt;$B$15+$B$12)</f>
        <v>0</v>
      </c>
      <c r="F46" s="12">
        <f ca="1">IF(A46=0,1,F45*(1-C45))</f>
        <v>0.40811242624481114</v>
      </c>
      <c r="G46" s="12">
        <f t="shared" si="1"/>
        <v>0.2766565576137297</v>
      </c>
      <c r="H46" s="12">
        <f ca="1">13/24+11/24/(1+D46)*(1-C46)</f>
        <v>0.92539810426540281</v>
      </c>
      <c r="I46" s="12">
        <f>(1+$B$14)^(A46-$B$15)</f>
        <v>1</v>
      </c>
      <c r="J46" s="3" t="b">
        <f>AND(A46&gt;=$B$15+$B$12,OR($B$13=0,A46&lt;$B$15+$B$13))</f>
        <v>1</v>
      </c>
      <c r="K46" s="12">
        <f>IF(E46,$B$16*I46*G46*IF(D46=0,1,(1-(1+D46)^-1)/(12*(1-(1+D46)^(-1/12)))),0)</f>
        <v>0</v>
      </c>
      <c r="L46" s="12">
        <f ca="1">IF(J46,I46*G46*F46*H46,0)</f>
        <v>0.10448390429187529</v>
      </c>
      <c r="M46" s="12">
        <f ca="1">K46+L46</f>
        <v>0.10448390429187529</v>
      </c>
    </row>
    <row r="47" spans="1:13">
      <c r="A47" s="10">
        <v>25</v>
      </c>
      <c r="B47" s="10">
        <f t="shared" si="0"/>
        <v>90</v>
      </c>
      <c r="C47" s="11">
        <f ca="1">OFFSET(Mort_Start,MATCH(MIN(120,B47),Mort_Age_Range,0),0)</f>
        <v>0.13111999999999999</v>
      </c>
      <c r="D47" s="20">
        <f>IF(A47&lt;5,$B$8,IF(A47&lt;20,$B$9,$B$10))</f>
        <v>5.5E-2</v>
      </c>
      <c r="E47" s="3" t="b">
        <f>AND(A47&gt;=$B$15,A47&lt;$B$15+$B$12)</f>
        <v>0</v>
      </c>
      <c r="F47" s="12">
        <f ca="1">IF(A47=0,1,F46*(1-C46))</f>
        <v>0.36047754385351677</v>
      </c>
      <c r="G47" s="12">
        <f t="shared" si="1"/>
        <v>0.26223370389926987</v>
      </c>
      <c r="H47" s="12">
        <f ca="1">13/24+11/24/(1+D47)*(1-C47)</f>
        <v>0.91914218009478676</v>
      </c>
      <c r="I47" s="12">
        <f>(1+$B$14)^(A47-$B$15)</f>
        <v>1</v>
      </c>
      <c r="J47" s="3" t="b">
        <f>AND(A47&gt;=$B$15+$B$12,OR($B$13=0,A47&lt;$B$15+$B$13))</f>
        <v>1</v>
      </c>
      <c r="K47" s="12">
        <f>IF(E47,$B$16*I47*G47*IF(D47=0,1,(1-(1+D47)^-1)/(12*(1-(1+D47)^(-1/12)))),0)</f>
        <v>0</v>
      </c>
      <c r="L47" s="12">
        <f ca="1">IF(J47,I47*G47*F47*H47,0)</f>
        <v>8.6885923409522239E-2</v>
      </c>
      <c r="M47" s="12">
        <f ca="1">K47+L47</f>
        <v>8.6885923409522239E-2</v>
      </c>
    </row>
    <row r="48" spans="1:13">
      <c r="A48" s="10">
        <v>26</v>
      </c>
      <c r="B48" s="10">
        <f t="shared" si="0"/>
        <v>91</v>
      </c>
      <c r="C48" s="11">
        <f ca="1">OFFSET(Mort_Start,MATCH(MIN(120,B48),Mort_Age_Range,0),0)</f>
        <v>0.14616999999999999</v>
      </c>
      <c r="D48" s="20">
        <f>IF(A48&lt;5,$B$8,IF(A48&lt;20,$B$9,$B$10))</f>
        <v>5.5E-2</v>
      </c>
      <c r="E48" s="3" t="b">
        <f>AND(A48&gt;=$B$15,A48&lt;$B$15+$B$12)</f>
        <v>0</v>
      </c>
      <c r="F48" s="12">
        <f ca="1">IF(A48=0,1,F47*(1-C47))</f>
        <v>0.31321172830344363</v>
      </c>
      <c r="G48" s="12">
        <f t="shared" si="1"/>
        <v>0.24856275251115625</v>
      </c>
      <c r="H48" s="12">
        <f ca="1">13/24+11/24/(1+D48)*(1-C48)</f>
        <v>0.91260387045813585</v>
      </c>
      <c r="I48" s="12">
        <f>(1+$B$14)^(A48-$B$15)</f>
        <v>1</v>
      </c>
      <c r="J48" s="3" t="b">
        <f>AND(A48&gt;=$B$15+$B$12,OR($B$13=0,A48&lt;$B$15+$B$13))</f>
        <v>1</v>
      </c>
      <c r="K48" s="12">
        <f>IF(E48,$B$16*I48*G48*IF(D48=0,1,(1-(1+D48)^-1)/(12*(1-(1+D48)^(-1/12)))),0)</f>
        <v>0</v>
      </c>
      <c r="L48" s="12">
        <f ca="1">IF(J48,I48*G48*F48*H48,0)</f>
        <v>7.1048738594430796E-2</v>
      </c>
      <c r="M48" s="12">
        <f ca="1">K48+L48</f>
        <v>7.1048738594430796E-2</v>
      </c>
    </row>
    <row r="49" spans="1:13">
      <c r="A49" s="10">
        <v>27</v>
      </c>
      <c r="B49" s="10">
        <f t="shared" si="0"/>
        <v>92</v>
      </c>
      <c r="C49" s="11">
        <f ca="1">OFFSET(Mort_Start,MATCH(MIN(120,B49),Mort_Age_Range,0),0)</f>
        <v>0.16170000000000001</v>
      </c>
      <c r="D49" s="20">
        <f>IF(A49&lt;5,$B$8,IF(A49&lt;20,$B$9,$B$10))</f>
        <v>5.5E-2</v>
      </c>
      <c r="E49" s="3" t="b">
        <f>AND(A49&gt;=$B$15,A49&lt;$B$15+$B$12)</f>
        <v>0</v>
      </c>
      <c r="F49" s="12">
        <f ca="1">IF(A49=0,1,F48*(1-C48))</f>
        <v>0.26742956997732925</v>
      </c>
      <c r="G49" s="12">
        <f t="shared" si="1"/>
        <v>0.23560450474991115</v>
      </c>
      <c r="H49" s="12">
        <f ca="1">13/24+11/24/(1+D49)*(1-C49)</f>
        <v>0.90585703001579776</v>
      </c>
      <c r="I49" s="12">
        <f>(1+$B$14)^(A49-$B$15)</f>
        <v>1</v>
      </c>
      <c r="J49" s="3" t="b">
        <f>AND(A49&gt;=$B$15+$B$12,OR($B$13=0,A49&lt;$B$15+$B$13))</f>
        <v>1</v>
      </c>
      <c r="K49" s="12">
        <f>IF(E49,$B$16*I49*G49*IF(D49=0,1,(1-(1+D49)^-1)/(12*(1-(1+D49)^(-1/12)))),0)</f>
        <v>0</v>
      </c>
      <c r="L49" s="12">
        <f ca="1">IF(J49,I49*G49*F49*H49,0)</f>
        <v>5.7075887722126226E-2</v>
      </c>
      <c r="M49" s="12">
        <f ca="1">K49+L49</f>
        <v>5.7075887722126226E-2</v>
      </c>
    </row>
    <row r="50" spans="1:13">
      <c r="A50" s="10">
        <v>28</v>
      </c>
      <c r="B50" s="10">
        <f t="shared" si="0"/>
        <v>93</v>
      </c>
      <c r="C50" s="11">
        <f ca="1">OFFSET(Mort_Start,MATCH(MIN(120,B50),Mort_Age_Range,0),0)</f>
        <v>0.17766999999999999</v>
      </c>
      <c r="D50" s="20">
        <f>IF(A50&lt;5,$B$8,IF(A50&lt;20,$B$9,$B$10))</f>
        <v>5.5E-2</v>
      </c>
      <c r="E50" s="3" t="b">
        <f>AND(A50&gt;=$B$15,A50&lt;$B$15+$B$12)</f>
        <v>0</v>
      </c>
      <c r="F50" s="12">
        <f ca="1">IF(A50=0,1,F49*(1-C49))</f>
        <v>0.22418620851199511</v>
      </c>
      <c r="G50" s="12">
        <f t="shared" si="1"/>
        <v>0.22332180545015276</v>
      </c>
      <c r="H50" s="12">
        <f ca="1">13/24+11/24/(1+D50)*(1-C50)</f>
        <v>0.8989190363349131</v>
      </c>
      <c r="I50" s="12">
        <f>(1+$B$14)^(A50-$B$15)</f>
        <v>1</v>
      </c>
      <c r="J50" s="3" t="b">
        <f>AND(A50&gt;=$B$15+$B$12,OR($B$13=0,A50&lt;$B$15+$B$13))</f>
        <v>1</v>
      </c>
      <c r="K50" s="12">
        <f>IF(E50,$B$16*I50*G50*IF(D50=0,1,(1-(1+D50)^-1)/(12*(1-(1+D50)^(-1/12)))),0)</f>
        <v>0</v>
      </c>
      <c r="L50" s="12">
        <f ca="1">IF(J50,I50*G50*F50*H50,0)</f>
        <v>4.500498278884444E-2</v>
      </c>
      <c r="M50" s="12">
        <f ca="1">K50+L50</f>
        <v>4.500498278884444E-2</v>
      </c>
    </row>
    <row r="51" spans="1:13">
      <c r="A51" s="10">
        <v>29</v>
      </c>
      <c r="B51" s="10">
        <f t="shared" si="0"/>
        <v>94</v>
      </c>
      <c r="C51" s="11">
        <f ca="1">OFFSET(Mort_Start,MATCH(MIN(120,B51),Mort_Age_Range,0),0)</f>
        <v>0.19383</v>
      </c>
      <c r="D51" s="20">
        <f>IF(A51&lt;5,$B$8,IF(A51&lt;20,$B$9,$B$10))</f>
        <v>5.5E-2</v>
      </c>
      <c r="E51" s="3" t="b">
        <f>AND(A51&gt;=$B$15,A51&lt;$B$15+$B$12)</f>
        <v>0</v>
      </c>
      <c r="F51" s="12">
        <f ca="1">IF(A51=0,1,F50*(1-C50))</f>
        <v>0.18435504484566895</v>
      </c>
      <c r="G51" s="12">
        <f t="shared" si="1"/>
        <v>0.21167943644564247</v>
      </c>
      <c r="H51" s="12">
        <f ca="1">13/24+11/24/(1+D51)*(1-C51)</f>
        <v>0.89189849921011055</v>
      </c>
      <c r="I51" s="12">
        <f>(1+$B$14)^(A51-$B$15)</f>
        <v>1</v>
      </c>
      <c r="J51" s="3" t="b">
        <f>AND(A51&gt;=$B$15+$B$12,OR($B$13=0,A51&lt;$B$15+$B$13))</f>
        <v>1</v>
      </c>
      <c r="K51" s="12">
        <f>IF(E51,$B$16*I51*G51*IF(D51=0,1,(1-(1+D51)^-1)/(12*(1-(1+D51)^(-1/12)))),0)</f>
        <v>0</v>
      </c>
      <c r="L51" s="12">
        <f ca="1">IF(J51,I51*G51*F51*H51,0)</f>
        <v>3.4805600438684706E-2</v>
      </c>
      <c r="M51" s="12">
        <f ca="1">K51+L51</f>
        <v>3.4805600438684706E-2</v>
      </c>
    </row>
    <row r="52" spans="1:13">
      <c r="A52" s="10">
        <v>30</v>
      </c>
      <c r="B52" s="10">
        <f t="shared" si="0"/>
        <v>95</v>
      </c>
      <c r="C52" s="11">
        <f ca="1">OFFSET(Mort_Start,MATCH(MIN(120,B52),Mort_Age_Range,0),0)</f>
        <v>0.21015</v>
      </c>
      <c r="D52" s="20">
        <f>IF(A52&lt;5,$B$8,IF(A52&lt;20,$B$9,$B$10))</f>
        <v>5.5E-2</v>
      </c>
      <c r="E52" s="3" t="b">
        <f>AND(A52&gt;=$B$15,A52&lt;$B$15+$B$12)</f>
        <v>0</v>
      </c>
      <c r="F52" s="12">
        <f ca="1">IF(A52=0,1,F51*(1-C51))</f>
        <v>0.14862150650323294</v>
      </c>
      <c r="G52" s="12">
        <f t="shared" si="1"/>
        <v>0.20064401558828671</v>
      </c>
      <c r="H52" s="12">
        <f ca="1">13/24+11/24/(1+D52)*(1-C52)</f>
        <v>0.88480845181674561</v>
      </c>
      <c r="I52" s="12">
        <f>(1+$B$14)^(A52-$B$15)</f>
        <v>1</v>
      </c>
      <c r="J52" s="3" t="b">
        <f>AND(A52&gt;=$B$15+$B$12,OR($B$13=0,A52&lt;$B$15+$B$13))</f>
        <v>1</v>
      </c>
      <c r="K52" s="12">
        <f>IF(E52,$B$16*I52*G52*IF(D52=0,1,(1-(1+D52)^-1)/(12*(1-(1+D52)^(-1/12)))),0)</f>
        <v>0</v>
      </c>
      <c r="L52" s="12">
        <f ca="1">IF(J52,I52*G52*F52*H52,0)</f>
        <v>2.6385002072952499E-2</v>
      </c>
      <c r="M52" s="12">
        <f ca="1">K52+L52</f>
        <v>2.6385002072952499E-2</v>
      </c>
    </row>
    <row r="53" spans="1:13">
      <c r="A53" s="10">
        <v>31</v>
      </c>
      <c r="B53" s="10">
        <f t="shared" si="0"/>
        <v>96</v>
      </c>
      <c r="C53" s="11">
        <f ca="1">OFFSET(Mort_Start,MATCH(MIN(120,B53),Mort_Age_Range,0),0)</f>
        <v>0.22749</v>
      </c>
      <c r="D53" s="20">
        <f>IF(A53&lt;5,$B$8,IF(A53&lt;20,$B$9,$B$10))</f>
        <v>5.5E-2</v>
      </c>
      <c r="E53" s="3" t="b">
        <f>AND(A53&gt;=$B$15,A53&lt;$B$15+$B$12)</f>
        <v>0</v>
      </c>
      <c r="F53" s="12">
        <f ca="1">IF(A53=0,1,F52*(1-C52))</f>
        <v>0.11738869691157854</v>
      </c>
      <c r="G53" s="12">
        <f t="shared" si="1"/>
        <v>0.19018390103155139</v>
      </c>
      <c r="H53" s="12">
        <f ca="1">13/24+11/24/(1+D53)*(1-C53)</f>
        <v>0.87727527646129544</v>
      </c>
      <c r="I53" s="12">
        <f>(1+$B$14)^(A53-$B$15)</f>
        <v>1</v>
      </c>
      <c r="J53" s="3" t="b">
        <f>AND(A53&gt;=$B$15+$B$12,OR($B$13=0,A53&lt;$B$15+$B$13))</f>
        <v>1</v>
      </c>
      <c r="K53" s="12">
        <f>IF(E53,$B$16*I53*G53*IF(D53=0,1,(1-(1+D53)^-1)/(12*(1-(1+D53)^(-1/12)))),0)</f>
        <v>0</v>
      </c>
      <c r="L53" s="12">
        <f ca="1">IF(J53,I53*G53*F53*H53,0)</f>
        <v>1.9585556825035894E-2</v>
      </c>
      <c r="M53" s="12">
        <f ca="1">K53+L53</f>
        <v>1.9585556825035894E-2</v>
      </c>
    </row>
    <row r="54" spans="1:13">
      <c r="A54" s="10">
        <v>32</v>
      </c>
      <c r="B54" s="10">
        <f t="shared" si="0"/>
        <v>97</v>
      </c>
      <c r="C54" s="11">
        <f ca="1">OFFSET(Mort_Start,MATCH(MIN(120,B54),Mort_Age_Range,0),0)</f>
        <v>0.24529000000000001</v>
      </c>
      <c r="D54" s="20">
        <f>IF(A54&lt;5,$B$8,IF(A54&lt;20,$B$9,$B$10))</f>
        <v>5.5E-2</v>
      </c>
      <c r="E54" s="3" t="b">
        <f>AND(A54&gt;=$B$15,A54&lt;$B$15+$B$12)</f>
        <v>0</v>
      </c>
      <c r="F54" s="12">
        <f ca="1">IF(A54=0,1,F53*(1-C53))</f>
        <v>9.0683942251163538E-2</v>
      </c>
      <c r="G54" s="12">
        <f t="shared" si="1"/>
        <v>0.18026910050384018</v>
      </c>
      <c r="H54" s="12">
        <f ca="1">13/24+11/24/(1+D54)*(1-C54)</f>
        <v>0.86954225908372829</v>
      </c>
      <c r="I54" s="12">
        <f>(1+$B$14)^(A54-$B$15)</f>
        <v>1</v>
      </c>
      <c r="J54" s="3" t="b">
        <f>AND(A54&gt;=$B$15+$B$12,OR($B$13=0,A54&lt;$B$15+$B$13))</f>
        <v>1</v>
      </c>
      <c r="K54" s="12">
        <f>IF(E54,$B$16*I54*G54*IF(D54=0,1,(1-(1+D54)^-1)/(12*(1-(1+D54)^(-1/12)))),0)</f>
        <v>0</v>
      </c>
      <c r="L54" s="12">
        <f ca="1">IF(J54,I54*G54*F54*H54,0)</f>
        <v>1.4214853123348761E-2</v>
      </c>
      <c r="M54" s="12">
        <f ca="1">K54+L54</f>
        <v>1.4214853123348761E-2</v>
      </c>
    </row>
    <row r="55" spans="1:13">
      <c r="A55" s="10">
        <v>33</v>
      </c>
      <c r="B55" s="10">
        <f t="shared" si="0"/>
        <v>98</v>
      </c>
      <c r="C55" s="11">
        <f ca="1">OFFSET(Mort_Start,MATCH(MIN(120,B55),Mort_Age_Range,0),0)</f>
        <v>0.26362999999999998</v>
      </c>
      <c r="D55" s="20">
        <f>IF(A55&lt;5,$B$8,IF(A55&lt;20,$B$9,$B$10))</f>
        <v>5.5E-2</v>
      </c>
      <c r="E55" s="3" t="b">
        <f>AND(A55&gt;=$B$15,A55&lt;$B$15+$B$12)</f>
        <v>0</v>
      </c>
      <c r="F55" s="12">
        <f ca="1">IF(A55=0,1,F54*(1-C54))</f>
        <v>6.8440078056375628E-2</v>
      </c>
      <c r="G55" s="12">
        <f t="shared" si="1"/>
        <v>0.17087118531169684</v>
      </c>
      <c r="H55" s="12">
        <f ca="1">13/24+11/24/(1+D55)*(1-C55)</f>
        <v>0.86157464454976296</v>
      </c>
      <c r="I55" s="12">
        <f>(1+$B$14)^(A55-$B$15)</f>
        <v>1</v>
      </c>
      <c r="J55" s="3" t="b">
        <f>AND(A55&gt;=$B$15+$B$12,OR($B$13=0,A55&lt;$B$15+$B$13))</f>
        <v>1</v>
      </c>
      <c r="K55" s="12">
        <f>IF(E55,$B$16*I55*G55*IF(D55=0,1,(1-(1+D55)^-1)/(12*(1-(1+D55)^(-1/12)))),0)</f>
        <v>0</v>
      </c>
      <c r="L55" s="12">
        <f ca="1">IF(J55,I55*G55*F55*H55,0)</f>
        <v>1.0075630625767946E-2</v>
      </c>
      <c r="M55" s="12">
        <f ca="1">K55+L55</f>
        <v>1.0075630625767946E-2</v>
      </c>
    </row>
    <row r="56" spans="1:13">
      <c r="A56" s="10">
        <v>34</v>
      </c>
      <c r="B56" s="10">
        <f t="shared" si="0"/>
        <v>99</v>
      </c>
      <c r="C56" s="11">
        <f ca="1">OFFSET(Mort_Start,MATCH(MIN(120,B56),Mort_Age_Range,0),0)</f>
        <v>0.28251999999999999</v>
      </c>
      <c r="D56" s="20">
        <f>IF(A56&lt;5,$B$8,IF(A56&lt;20,$B$9,$B$10))</f>
        <v>5.5E-2</v>
      </c>
      <c r="E56" s="3" t="b">
        <f>AND(A56&gt;=$B$15,A56&lt;$B$15+$B$12)</f>
        <v>0</v>
      </c>
      <c r="F56" s="12">
        <f ca="1">IF(A56=0,1,F55*(1-C55))</f>
        <v>5.0397220278373317E-2</v>
      </c>
      <c r="G56" s="12">
        <f t="shared" si="1"/>
        <v>0.16196320882625295</v>
      </c>
      <c r="H56" s="12">
        <f ca="1">13/24+11/24/(1+D56)*(1-C56)</f>
        <v>0.85336808846761447</v>
      </c>
      <c r="I56" s="12">
        <f>(1+$B$14)^(A56-$B$15)</f>
        <v>1</v>
      </c>
      <c r="J56" s="3" t="b">
        <f>AND(A56&gt;=$B$15+$B$12,OR($B$13=0,A56&lt;$B$15+$B$13))</f>
        <v>1</v>
      </c>
      <c r="K56" s="12">
        <f>IF(E56,$B$16*I56*G56*IF(D56=0,1,(1-(1+D56)^-1)/(12*(1-(1+D56)^(-1/12)))),0)</f>
        <v>0</v>
      </c>
      <c r="L56" s="12">
        <f ca="1">IF(J56,I56*G56*F56*H56,0)</f>
        <v>6.9656131923791454E-3</v>
      </c>
      <c r="M56" s="12">
        <f ca="1">K56+L56</f>
        <v>6.9656131923791454E-3</v>
      </c>
    </row>
    <row r="57" spans="1:13">
      <c r="A57" s="10">
        <v>35</v>
      </c>
      <c r="B57" s="10">
        <f t="shared" si="0"/>
        <v>100</v>
      </c>
      <c r="C57" s="11">
        <f ca="1">OFFSET(Mort_Start,MATCH(MIN(120,B57),Mort_Age_Range,0),0)</f>
        <v>0.30177999999999999</v>
      </c>
      <c r="D57" s="20">
        <f>IF(A57&lt;5,$B$8,IF(A57&lt;20,$B$9,$B$10))</f>
        <v>5.5E-2</v>
      </c>
      <c r="E57" s="3" t="b">
        <f>AND(A57&gt;=$B$15,A57&lt;$B$15+$B$12)</f>
        <v>0</v>
      </c>
      <c r="F57" s="12">
        <f ca="1">IF(A57=0,1,F56*(1-C56))</f>
        <v>3.6158997605327287E-2</v>
      </c>
      <c r="G57" s="12">
        <f t="shared" si="1"/>
        <v>0.15351962921919712</v>
      </c>
      <c r="H57" s="12">
        <f ca="1">13/24+11/24/(1+D57)*(1-C57)</f>
        <v>0.8450007898894154</v>
      </c>
      <c r="I57" s="12">
        <f>(1+$B$14)^(A57-$B$15)</f>
        <v>1</v>
      </c>
      <c r="J57" s="3" t="b">
        <f>AND(A57&gt;=$B$15+$B$12,OR($B$13=0,A57&lt;$B$15+$B$13))</f>
        <v>1</v>
      </c>
      <c r="K57" s="12">
        <f>IF(E57,$B$16*I57*G57*IF(D57=0,1,(1-(1+D57)^-1)/(12*(1-(1+D57)^(-1/12)))),0)</f>
        <v>0</v>
      </c>
      <c r="L57" s="12">
        <f ca="1">IF(J57,I57*G57*F57*H57,0)</f>
        <v>4.690697324752688E-3</v>
      </c>
      <c r="M57" s="12">
        <f ca="1">K57+L57</f>
        <v>4.690697324752688E-3</v>
      </c>
    </row>
    <row r="58" spans="1:13">
      <c r="A58" s="10">
        <v>36</v>
      </c>
      <c r="B58" s="10">
        <f t="shared" si="0"/>
        <v>101</v>
      </c>
      <c r="C58" s="11">
        <f ca="1">OFFSET(Mort_Start,MATCH(MIN(120,B58),Mort_Age_Range,0),0)</f>
        <v>0.32124999999999998</v>
      </c>
      <c r="D58" s="20">
        <f>IF(A58&lt;5,$B$8,IF(A58&lt;20,$B$9,$B$10))</f>
        <v>5.5E-2</v>
      </c>
      <c r="E58" s="3" t="b">
        <f>AND(A58&gt;=$B$15,A58&lt;$B$15+$B$12)</f>
        <v>0</v>
      </c>
      <c r="F58" s="12">
        <f ca="1">IF(A58=0,1,F57*(1-C57))</f>
        <v>2.524693530799162E-2</v>
      </c>
      <c r="G58" s="12">
        <f t="shared" si="1"/>
        <v>0.14551623622672713</v>
      </c>
      <c r="H58" s="12">
        <f ca="1">13/24+11/24/(1+D58)*(1-C58)</f>
        <v>0.83654225908372826</v>
      </c>
      <c r="I58" s="12">
        <f>(1+$B$14)^(A58-$B$15)</f>
        <v>1</v>
      </c>
      <c r="J58" s="3" t="b">
        <f>AND(A58&gt;=$B$15+$B$12,OR($B$13=0,A58&lt;$B$15+$B$13))</f>
        <v>1</v>
      </c>
      <c r="K58" s="12">
        <f>IF(E58,$B$16*I58*G58*IF(D58=0,1,(1-(1+D58)^-1)/(12*(1-(1+D58)^(-1/12)))),0)</f>
        <v>0</v>
      </c>
      <c r="L58" s="12">
        <f ca="1">IF(J58,I58*G58*F58*H58,0)</f>
        <v>3.0733215784760556E-3</v>
      </c>
      <c r="M58" s="12">
        <f ca="1">K58+L58</f>
        <v>3.0733215784760556E-3</v>
      </c>
    </row>
    <row r="59" spans="1:13">
      <c r="A59" s="10">
        <v>37</v>
      </c>
      <c r="B59" s="10">
        <f t="shared" si="0"/>
        <v>102</v>
      </c>
      <c r="C59" s="11">
        <f ca="1">OFFSET(Mort_Start,MATCH(MIN(120,B59),Mort_Age_Range,0),0)</f>
        <v>0.34060000000000001</v>
      </c>
      <c r="D59" s="20">
        <f>IF(A59&lt;5,$B$8,IF(A59&lt;20,$B$9,$B$10))</f>
        <v>5.5E-2</v>
      </c>
      <c r="E59" s="3" t="b">
        <f>AND(A59&gt;=$B$15,A59&lt;$B$15+$B$12)</f>
        <v>0</v>
      </c>
      <c r="F59" s="12">
        <f ca="1">IF(A59=0,1,F58*(1-C58))</f>
        <v>1.7136357340299311E-2</v>
      </c>
      <c r="G59" s="12">
        <f t="shared" si="1"/>
        <v>0.1379300817314949</v>
      </c>
      <c r="H59" s="12">
        <f ca="1">13/24+11/24/(1+D59)*(1-C59)</f>
        <v>0.8281358609794629</v>
      </c>
      <c r="I59" s="12">
        <f>(1+$B$14)^(A59-$B$15)</f>
        <v>1</v>
      </c>
      <c r="J59" s="3" t="b">
        <f>AND(A59&gt;=$B$15+$B$12,OR($B$13=0,A59&lt;$B$15+$B$13))</f>
        <v>1</v>
      </c>
      <c r="K59" s="12">
        <f>IF(E59,$B$16*I59*G59*IF(D59=0,1,(1-(1+D59)^-1)/(12*(1-(1+D59)^(-1/12)))),0)</f>
        <v>0</v>
      </c>
      <c r="L59" s="12">
        <f ca="1">IF(J59,I59*G59*F59*H59,0)</f>
        <v>1.9573977951561549E-3</v>
      </c>
      <c r="M59" s="12">
        <f ca="1">K59+L59</f>
        <v>1.9573977951561549E-3</v>
      </c>
    </row>
    <row r="60" spans="1:13">
      <c r="A60" s="10">
        <v>38</v>
      </c>
      <c r="B60" s="10">
        <f t="shared" si="0"/>
        <v>103</v>
      </c>
      <c r="C60" s="11">
        <f ca="1">OFFSET(Mort_Start,MATCH(MIN(120,B60),Mort_Age_Range,0),0)</f>
        <v>0.35976999999999998</v>
      </c>
      <c r="D60" s="20">
        <f>IF(A60&lt;5,$B$8,IF(A60&lt;20,$B$9,$B$10))</f>
        <v>5.5E-2</v>
      </c>
      <c r="E60" s="3" t="b">
        <f>AND(A60&gt;=$B$15,A60&lt;$B$15+$B$12)</f>
        <v>0</v>
      </c>
      <c r="F60" s="12">
        <f ca="1">IF(A60=0,1,F59*(1-C59))</f>
        <v>1.1299714030193366E-2</v>
      </c>
      <c r="G60" s="12">
        <f t="shared" si="1"/>
        <v>0.1307394139635023</v>
      </c>
      <c r="H60" s="12">
        <f ca="1">13/24+11/24/(1+D60)*(1-C60)</f>
        <v>0.81980766192733023</v>
      </c>
      <c r="I60" s="12">
        <f>(1+$B$14)^(A60-$B$15)</f>
        <v>1</v>
      </c>
      <c r="J60" s="3" t="b">
        <f>AND(A60&gt;=$B$15+$B$12,OR($B$13=0,A60&lt;$B$15+$B$13))</f>
        <v>1</v>
      </c>
      <c r="K60" s="12">
        <f>IF(E60,$B$16*I60*G60*IF(D60=0,1,(1-(1+D60)^-1)/(12*(1-(1+D60)^(-1/12)))),0)</f>
        <v>0</v>
      </c>
      <c r="L60" s="12">
        <f ca="1">IF(J60,I60*G60*F60*H60,0)</f>
        <v>1.2111166075204018E-3</v>
      </c>
      <c r="M60" s="12">
        <f ca="1">K60+L60</f>
        <v>1.2111166075204018E-3</v>
      </c>
    </row>
    <row r="61" spans="1:13">
      <c r="A61" s="10">
        <v>39</v>
      </c>
      <c r="B61" s="10">
        <f t="shared" si="0"/>
        <v>104</v>
      </c>
      <c r="C61" s="11">
        <f ca="1">OFFSET(Mort_Start,MATCH(MIN(120,B61),Mort_Age_Range,0),0)</f>
        <v>0.37872</v>
      </c>
      <c r="D61" s="20">
        <f>IF(A61&lt;5,$B$8,IF(A61&lt;20,$B$9,$B$10))</f>
        <v>5.5E-2</v>
      </c>
      <c r="E61" s="3" t="b">
        <f>AND(A61&gt;=$B$15,A61&lt;$B$15+$B$12)</f>
        <v>0</v>
      </c>
      <c r="F61" s="12">
        <f ca="1">IF(A61=0,1,F60*(1-C60))</f>
        <v>7.2344159135506996E-3</v>
      </c>
      <c r="G61" s="12">
        <f t="shared" si="1"/>
        <v>0.12392361513128179</v>
      </c>
      <c r="H61" s="12">
        <f ca="1">13/24+11/24/(1+D61)*(1-C61)</f>
        <v>0.81157503949447074</v>
      </c>
      <c r="I61" s="12">
        <f>(1+$B$14)^(A61-$B$15)</f>
        <v>1</v>
      </c>
      <c r="J61" s="3" t="b">
        <f>AND(A61&gt;=$B$15+$B$12,OR($B$13=0,A61&lt;$B$15+$B$13))</f>
        <v>1</v>
      </c>
      <c r="K61" s="12">
        <f>IF(E61,$B$16*I61*G61*IF(D61=0,1,(1-(1+D61)^-1)/(12*(1-(1+D61)^(-1/12)))),0)</f>
        <v>0</v>
      </c>
      <c r="L61" s="12">
        <f ca="1">IF(J61,I61*G61*F61*H61,0)</f>
        <v>7.2758917492052951E-4</v>
      </c>
      <c r="M61" s="12">
        <f ca="1">K61+L61</f>
        <v>7.2758917492052951E-4</v>
      </c>
    </row>
    <row r="62" spans="1:13">
      <c r="A62" s="10">
        <v>40</v>
      </c>
      <c r="B62" s="10">
        <f t="shared" si="0"/>
        <v>105</v>
      </c>
      <c r="C62" s="11">
        <f ca="1">OFFSET(Mort_Start,MATCH(MIN(120,B62),Mort_Age_Range,0),0)</f>
        <v>0.39715</v>
      </c>
      <c r="D62" s="20">
        <f>IF(A62&lt;5,$B$8,IF(A62&lt;20,$B$9,$B$10))</f>
        <v>5.5E-2</v>
      </c>
      <c r="E62" s="3" t="b">
        <f>AND(A62&gt;=$B$15,A62&lt;$B$15+$B$12)</f>
        <v>0</v>
      </c>
      <c r="F62" s="12">
        <f ca="1">IF(A62=0,1,F61*(1-C61))</f>
        <v>4.4945979187707794E-3</v>
      </c>
      <c r="G62" s="12">
        <f t="shared" si="1"/>
        <v>0.1174631423045325</v>
      </c>
      <c r="H62" s="12">
        <f ca="1">13/24+11/24/(1+D62)*(1-C62)</f>
        <v>0.80356832543443912</v>
      </c>
      <c r="I62" s="12">
        <f>(1+$B$14)^(A62-$B$15)</f>
        <v>1</v>
      </c>
      <c r="J62" s="3" t="b">
        <f>AND(A62&gt;=$B$15+$B$12,OR($B$13=0,A62&lt;$B$15+$B$13))</f>
        <v>1</v>
      </c>
      <c r="K62" s="12">
        <f>IF(E62,$B$16*I62*G62*IF(D62=0,1,(1-(1+D62)^-1)/(12*(1-(1+D62)^(-1/12)))),0)</f>
        <v>0</v>
      </c>
      <c r="L62" s="12">
        <f ca="1">IF(J62,I62*G62*F62*H62,0)</f>
        <v>4.2424357191508775E-4</v>
      </c>
      <c r="M62" s="12">
        <f ca="1">K62+L62</f>
        <v>4.2424357191508775E-4</v>
      </c>
    </row>
    <row r="63" spans="1:13">
      <c r="A63" s="10">
        <v>41</v>
      </c>
      <c r="B63" s="10">
        <f t="shared" si="0"/>
        <v>106</v>
      </c>
      <c r="C63" s="11">
        <f ca="1">OFFSET(Mort_Start,MATCH(MIN(120,B63),Mort_Age_Range,0),0)</f>
        <v>0.41511999999999999</v>
      </c>
      <c r="D63" s="20">
        <f>IF(A63&lt;5,$B$8,IF(A63&lt;20,$B$9,$B$10))</f>
        <v>5.5E-2</v>
      </c>
      <c r="E63" s="3" t="b">
        <f>AND(A63&gt;=$B$15,A63&lt;$B$15+$B$12)</f>
        <v>0</v>
      </c>
      <c r="F63" s="12">
        <f ca="1">IF(A63=0,1,F62*(1-C62))</f>
        <v>2.7095683553309642E-3</v>
      </c>
      <c r="G63" s="12">
        <f t="shared" si="1"/>
        <v>0.11133947137870381</v>
      </c>
      <c r="H63" s="12">
        <f ca="1">13/24+11/24/(1+D63)*(1-C63)</f>
        <v>0.79576145339652449</v>
      </c>
      <c r="I63" s="12">
        <f>(1+$B$14)^(A63-$B$15)</f>
        <v>1</v>
      </c>
      <c r="J63" s="3" t="b">
        <f>AND(A63&gt;=$B$15+$B$12,OR($B$13=0,A63&lt;$B$15+$B$13))</f>
        <v>1</v>
      </c>
      <c r="K63" s="12">
        <f>IF(E63,$B$16*I63*G63*IF(D63=0,1,(1-(1+D63)^-1)/(12*(1-(1+D63)^(-1/12)))),0)</f>
        <v>0</v>
      </c>
      <c r="L63" s="12">
        <f ca="1">IF(J63,I63*G63*F63*H63,0)</f>
        <v>2.4006683384965649E-4</v>
      </c>
      <c r="M63" s="12">
        <f ca="1">K63+L63</f>
        <v>2.4006683384965649E-4</v>
      </c>
    </row>
    <row r="64" spans="1:13">
      <c r="A64" s="10">
        <v>42</v>
      </c>
      <c r="B64" s="10">
        <f t="shared" si="0"/>
        <v>107</v>
      </c>
      <c r="C64" s="11">
        <f ca="1">OFFSET(Mort_Start,MATCH(MIN(120,B64),Mort_Age_Range,0),0)</f>
        <v>0.43240000000000001</v>
      </c>
      <c r="D64" s="20">
        <f>IF(A64&lt;5,$B$8,IF(A64&lt;20,$B$9,$B$10))</f>
        <v>5.5E-2</v>
      </c>
      <c r="E64" s="3" t="b">
        <f>AND(A64&gt;=$B$15,A64&lt;$B$15+$B$12)</f>
        <v>0</v>
      </c>
      <c r="F64" s="12">
        <f ca="1">IF(A64=0,1,F63*(1-C63))</f>
        <v>1.5847723396659745E-3</v>
      </c>
      <c r="G64" s="12">
        <f t="shared" si="1"/>
        <v>0.10553504396085669</v>
      </c>
      <c r="H64" s="12">
        <f ca="1">13/24+11/24/(1+D64)*(1-C64)</f>
        <v>0.7882543443917851</v>
      </c>
      <c r="I64" s="12">
        <f>(1+$B$14)^(A64-$B$15)</f>
        <v>1</v>
      </c>
      <c r="J64" s="3" t="b">
        <f>AND(A64&gt;=$B$15+$B$12,OR($B$13=0,A64&lt;$B$15+$B$13))</f>
        <v>1</v>
      </c>
      <c r="K64" s="12">
        <f>IF(E64,$B$16*I64*G64*IF(D64=0,1,(1-(1+D64)^-1)/(12*(1-(1+D64)^(-1/12)))),0)</f>
        <v>0</v>
      </c>
      <c r="L64" s="12">
        <f ca="1">IF(J64,I64*G64*F64*H64,0)</f>
        <v>1.3183476545515933E-4</v>
      </c>
      <c r="M64" s="12">
        <f ca="1">K64+L64</f>
        <v>1.3183476545515933E-4</v>
      </c>
    </row>
    <row r="65" spans="1:13">
      <c r="A65" s="10">
        <v>43</v>
      </c>
      <c r="B65" s="10">
        <f t="shared" si="0"/>
        <v>108</v>
      </c>
      <c r="C65" s="11">
        <f ca="1">OFFSET(Mort_Start,MATCH(MIN(120,B65),Mort_Age_Range,0),0)</f>
        <v>0.44895000000000002</v>
      </c>
      <c r="D65" s="20">
        <f>IF(A65&lt;5,$B$8,IF(A65&lt;20,$B$9,$B$10))</f>
        <v>5.5E-2</v>
      </c>
      <c r="E65" s="3" t="b">
        <f>AND(A65&gt;=$B$15,A65&lt;$B$15+$B$12)</f>
        <v>0</v>
      </c>
      <c r="F65" s="12">
        <f ca="1">IF(A65=0,1,F64*(1-C64))</f>
        <v>8.9951677999440711E-4</v>
      </c>
      <c r="G65" s="12">
        <f t="shared" si="1"/>
        <v>0.10003321702450872</v>
      </c>
      <c r="H65" s="12">
        <f ca="1">13/24+11/24/(1+D65)*(1-C65)</f>
        <v>0.78106437598736178</v>
      </c>
      <c r="I65" s="12">
        <f>(1+$B$14)^(A65-$B$15)</f>
        <v>1</v>
      </c>
      <c r="J65" s="3" t="b">
        <f>AND(A65&gt;=$B$15+$B$12,OR($B$13=0,A65&lt;$B$15+$B$13))</f>
        <v>1</v>
      </c>
      <c r="K65" s="12">
        <f>IF(E65,$B$16*I65*G65*IF(D65=0,1,(1-(1+D65)^-1)/(12*(1-(1+D65)^(-1/12)))),0)</f>
        <v>0</v>
      </c>
      <c r="L65" s="12">
        <f ca="1">IF(J65,I65*G65*F65*H65,0)</f>
        <v>7.0281388879750884E-5</v>
      </c>
      <c r="M65" s="12">
        <f ca="1">K65+L65</f>
        <v>7.0281388879750884E-5</v>
      </c>
    </row>
    <row r="66" spans="1:13">
      <c r="A66" s="10">
        <v>44</v>
      </c>
      <c r="B66" s="10">
        <f t="shared" si="0"/>
        <v>109</v>
      </c>
      <c r="C66" s="11">
        <f ca="1">OFFSET(Mort_Start,MATCH(MIN(120,B66),Mort_Age_Range,0),0)</f>
        <v>0.46478999999999998</v>
      </c>
      <c r="D66" s="20">
        <f>IF(A66&lt;5,$B$8,IF(A66&lt;20,$B$9,$B$10))</f>
        <v>5.5E-2</v>
      </c>
      <c r="E66" s="3" t="b">
        <f>AND(A66&gt;=$B$15,A66&lt;$B$15+$B$12)</f>
        <v>0</v>
      </c>
      <c r="F66" s="12">
        <f ca="1">IF(A66=0,1,F65*(1-C65))</f>
        <v>4.9567872161591811E-4</v>
      </c>
      <c r="G66" s="12">
        <f t="shared" si="1"/>
        <v>9.4818215189107796E-2</v>
      </c>
      <c r="H66" s="12">
        <f ca="1">13/24+11/24/(1+D66)*(1-C66)</f>
        <v>0.77418285939968401</v>
      </c>
      <c r="I66" s="12">
        <f>(1+$B$14)^(A66-$B$15)</f>
        <v>1</v>
      </c>
      <c r="J66" s="3" t="b">
        <f>AND(A66&gt;=$B$15+$B$12,OR($B$13=0,A66&lt;$B$15+$B$13))</f>
        <v>1</v>
      </c>
      <c r="K66" s="12">
        <f>IF(E66,$B$16*I66*G66*IF(D66=0,1,(1-(1+D66)^-1)/(12*(1-(1+D66)^(-1/12)))),0)</f>
        <v>0</v>
      </c>
      <c r="L66" s="12">
        <f ca="1">IF(J66,I66*G66*F66*H66,0)</f>
        <v>3.6386107965603058E-5</v>
      </c>
      <c r="M66" s="12">
        <f ca="1">K66+L66</f>
        <v>3.6386107965603058E-5</v>
      </c>
    </row>
    <row r="67" spans="1:13">
      <c r="A67" s="10">
        <v>45</v>
      </c>
      <c r="B67" s="10">
        <f t="shared" si="0"/>
        <v>110</v>
      </c>
      <c r="C67" s="11">
        <f ca="1">OFFSET(Mort_Start,MATCH(MIN(120,B67),Mort_Age_Range,0),0)</f>
        <v>0.47744999999999999</v>
      </c>
      <c r="D67" s="20">
        <f>IF(A67&lt;5,$B$8,IF(A67&lt;20,$B$9,$B$10))</f>
        <v>5.5E-2</v>
      </c>
      <c r="E67" s="3" t="b">
        <f>AND(A67&gt;=$B$15,A67&lt;$B$15+$B$12)</f>
        <v>0</v>
      </c>
      <c r="F67" s="12">
        <f ca="1">IF(A67=0,1,F66*(1-C66))</f>
        <v>2.652922085960555E-4</v>
      </c>
      <c r="G67" s="12">
        <f t="shared" si="1"/>
        <v>8.9875085487305981E-2</v>
      </c>
      <c r="H67" s="12">
        <f ca="1">13/24+11/24/(1+D67)*(1-C67)</f>
        <v>0.76868285939968406</v>
      </c>
      <c r="I67" s="12">
        <f>(1+$B$14)^(A67-$B$15)</f>
        <v>1</v>
      </c>
      <c r="J67" s="3" t="b">
        <f>AND(A67&gt;=$B$15+$B$12,OR($B$13=0,A67&lt;$B$15+$B$13))</f>
        <v>1</v>
      </c>
      <c r="K67" s="12">
        <f>IF(E67,$B$16*I67*G67*IF(D67=0,1,(1-(1+D67)^-1)/(12*(1-(1+D67)^(-1/12)))),0)</f>
        <v>0</v>
      </c>
      <c r="L67" s="12">
        <f ca="1">IF(J67,I67*G67*F67*H67,0)</f>
        <v>1.8327828349569492E-5</v>
      </c>
      <c r="M67" s="12">
        <f ca="1">K67+L67</f>
        <v>1.8327828349569492E-5</v>
      </c>
    </row>
    <row r="68" spans="1:13">
      <c r="A68" s="10">
        <v>46</v>
      </c>
      <c r="B68" s="10">
        <f t="shared" si="0"/>
        <v>111</v>
      </c>
      <c r="C68" s="11">
        <f ca="1">OFFSET(Mort_Start,MATCH(MIN(120,B68),Mort_Age_Range,0),0)</f>
        <v>0.48570999999999998</v>
      </c>
      <c r="D68" s="20">
        <f>IF(A68&lt;5,$B$8,IF(A68&lt;20,$B$9,$B$10))</f>
        <v>5.5E-2</v>
      </c>
      <c r="E68" s="3" t="b">
        <f>AND(A68&gt;=$B$15,A68&lt;$B$15+$B$12)</f>
        <v>0</v>
      </c>
      <c r="F68" s="12">
        <f ca="1">IF(A68=0,1,F67*(1-C67))</f>
        <v>1.3862844360186882E-4</v>
      </c>
      <c r="G68" s="12">
        <f t="shared" si="1"/>
        <v>8.5189654490337413E-2</v>
      </c>
      <c r="H68" s="12">
        <f ca="1">13/24+11/24/(1+D68)*(1-C68)</f>
        <v>0.76509439178515004</v>
      </c>
      <c r="I68" s="12">
        <f>(1+$B$14)^(A68-$B$15)</f>
        <v>1</v>
      </c>
      <c r="J68" s="3" t="b">
        <f>AND(A68&gt;=$B$15+$B$12,OR($B$13=0,A68&lt;$B$15+$B$13))</f>
        <v>1</v>
      </c>
      <c r="K68" s="12">
        <f>IF(E68,$B$16*I68*G68*IF(D68=0,1,(1-(1+D68)^-1)/(12*(1-(1+D68)^(-1/12)))),0)</f>
        <v>0</v>
      </c>
      <c r="L68" s="12">
        <f ca="1">IF(J68,I68*G68*F68*H68,0)</f>
        <v>9.0355422874616845E-6</v>
      </c>
      <c r="M68" s="12">
        <f ca="1">K68+L68</f>
        <v>9.0355422874616845E-6</v>
      </c>
    </row>
    <row r="69" spans="1:13">
      <c r="A69" s="10">
        <v>47</v>
      </c>
      <c r="B69" s="10">
        <f t="shared" si="0"/>
        <v>112</v>
      </c>
      <c r="C69" s="11">
        <f ca="1">OFFSET(Mort_Start,MATCH(MIN(120,B69),Mort_Age_Range,0),0)</f>
        <v>0.49352000000000001</v>
      </c>
      <c r="D69" s="20">
        <f>IF(A69&lt;5,$B$8,IF(A69&lt;20,$B$9,$B$10))</f>
        <v>5.5E-2</v>
      </c>
      <c r="E69" s="3" t="b">
        <f>AND(A69&gt;=$B$15,A69&lt;$B$15+$B$12)</f>
        <v>0</v>
      </c>
      <c r="F69" s="12">
        <f ca="1">IF(A69=0,1,F68*(1-C68))</f>
        <v>7.129522226000512E-5</v>
      </c>
      <c r="G69" s="12">
        <f t="shared" si="1"/>
        <v>8.0748487668566279E-2</v>
      </c>
      <c r="H69" s="12">
        <f ca="1">13/24+11/24/(1+D69)*(1-C69)</f>
        <v>0.76170142180094791</v>
      </c>
      <c r="I69" s="12">
        <f>(1+$B$14)^(A69-$B$15)</f>
        <v>1</v>
      </c>
      <c r="J69" s="3" t="b">
        <f>AND(A69&gt;=$B$15+$B$12,OR($B$13=0,A69&lt;$B$15+$B$13))</f>
        <v>1</v>
      </c>
      <c r="K69" s="12">
        <f>IF(E69,$B$16*I69*G69*IF(D69=0,1,(1-(1+D69)^-1)/(12*(1-(1+D69)^(-1/12)))),0)</f>
        <v>0</v>
      </c>
      <c r="L69" s="12">
        <f ca="1">IF(J69,I69*G69*F69*H69,0)</f>
        <v>4.3851008989920927E-6</v>
      </c>
      <c r="M69" s="12">
        <f ca="1">K69+L69</f>
        <v>4.3851008989920927E-6</v>
      </c>
    </row>
    <row r="70" spans="1:13">
      <c r="A70" s="10">
        <v>48</v>
      </c>
      <c r="B70" s="10">
        <f t="shared" si="0"/>
        <v>113</v>
      </c>
      <c r="C70" s="11">
        <f ca="1">OFFSET(Mort_Start,MATCH(MIN(120,B70),Mort_Age_Range,0),0)</f>
        <v>0.49724000000000002</v>
      </c>
      <c r="D70" s="20">
        <f>IF(A70&lt;5,$B$8,IF(A70&lt;20,$B$9,$B$10))</f>
        <v>5.5E-2</v>
      </c>
      <c r="E70" s="3" t="b">
        <f>AND(A70&gt;=$B$15,A70&lt;$B$15+$B$12)</f>
        <v>0</v>
      </c>
      <c r="F70" s="12">
        <f ca="1">IF(A70=0,1,F69*(1-C69))</f>
        <v>3.6109604170247397E-5</v>
      </c>
      <c r="G70" s="12">
        <f t="shared" si="1"/>
        <v>7.6538850870678937E-2</v>
      </c>
      <c r="H70" s="12">
        <f ca="1">13/24+11/24/(1+D70)*(1-C70)</f>
        <v>0.76008530805687202</v>
      </c>
      <c r="I70" s="12">
        <f>(1+$B$14)^(A70-$B$15)</f>
        <v>1</v>
      </c>
      <c r="J70" s="3" t="b">
        <f>AND(A70&gt;=$B$15+$B$12,OR($B$13=0,A70&lt;$B$15+$B$13))</f>
        <v>1</v>
      </c>
      <c r="K70" s="12">
        <f>IF(E70,$B$16*I70*G70*IF(D70=0,1,(1-(1+D70)^-1)/(12*(1-(1+D70)^(-1/12)))),0)</f>
        <v>0</v>
      </c>
      <c r="L70" s="12">
        <f ca="1">IF(J70,I70*G70*F70*H70,0)</f>
        <v>2.1007143558757124E-6</v>
      </c>
      <c r="M70" s="12">
        <f ca="1">K70+L70</f>
        <v>2.1007143558757124E-6</v>
      </c>
    </row>
    <row r="71" spans="1:13">
      <c r="A71" s="10">
        <v>49</v>
      </c>
      <c r="B71" s="10">
        <f t="shared" si="0"/>
        <v>114</v>
      </c>
      <c r="C71" s="11">
        <f ca="1">OFFSET(Mort_Start,MATCH(MIN(120,B71),Mort_Age_Range,0),0)</f>
        <v>0.49840000000000001</v>
      </c>
      <c r="D71" s="20">
        <f>IF(A71&lt;5,$B$8,IF(A71&lt;20,$B$9,$B$10))</f>
        <v>5.5E-2</v>
      </c>
      <c r="E71" s="3" t="b">
        <f>AND(A71&gt;=$B$15,A71&lt;$B$15+$B$12)</f>
        <v>0</v>
      </c>
      <c r="F71" s="12">
        <f ca="1">IF(A71=0,1,F70*(1-C70))</f>
        <v>1.815446459263358E-5</v>
      </c>
      <c r="G71" s="12">
        <f t="shared" si="1"/>
        <v>7.2548673811070094E-2</v>
      </c>
      <c r="H71" s="12">
        <f ca="1">13/24+11/24/(1+D71)*(1-C71)</f>
        <v>0.75958135860979459</v>
      </c>
      <c r="I71" s="12">
        <f>(1+$B$14)^(A71-$B$15)</f>
        <v>1</v>
      </c>
      <c r="J71" s="3" t="b">
        <f>AND(A71&gt;=$B$15+$B$12,OR($B$13=0,A71&lt;$B$15+$B$13))</f>
        <v>1</v>
      </c>
      <c r="K71" s="12">
        <f>IF(E71,$B$16*I71*G71*IF(D71=0,1,(1-(1+D71)^-1)/(12*(1-(1+D71)^(-1/12)))),0)</f>
        <v>0</v>
      </c>
      <c r="L71" s="12">
        <f ca="1">IF(J71,I71*G71*F71*H71,0)</f>
        <v>1.0004311855810287E-6</v>
      </c>
      <c r="M71" s="12">
        <f ca="1">K71+L71</f>
        <v>1.0004311855810287E-6</v>
      </c>
    </row>
    <row r="72" spans="1:13">
      <c r="A72" s="10">
        <v>50</v>
      </c>
      <c r="B72" s="10">
        <f t="shared" si="0"/>
        <v>115</v>
      </c>
      <c r="C72" s="11">
        <f ca="1">OFFSET(Mort_Start,MATCH(MIN(120,B72),Mort_Age_Range,0),0)</f>
        <v>0.49952999999999997</v>
      </c>
      <c r="D72" s="20">
        <f>IF(A72&lt;5,$B$8,IF(A72&lt;20,$B$9,$B$10))</f>
        <v>5.5E-2</v>
      </c>
      <c r="E72" s="3" t="b">
        <f>AND(A72&gt;=$B$15,A72&lt;$B$15+$B$12)</f>
        <v>0</v>
      </c>
      <c r="F72" s="12">
        <f ca="1">IF(A72=0,1,F71*(1-C71))</f>
        <v>9.1062794396650047E-6</v>
      </c>
      <c r="G72" s="12">
        <f t="shared" si="1"/>
        <v>6.8766515460729941E-2</v>
      </c>
      <c r="H72" s="12">
        <f ca="1">13/24+11/24/(1+D72)*(1-C72)</f>
        <v>0.75909044233807266</v>
      </c>
      <c r="I72" s="12">
        <f>(1+$B$14)^(A72-$B$15)</f>
        <v>1</v>
      </c>
      <c r="J72" s="3" t="b">
        <f>AND(A72&gt;=$B$15+$B$12,OR($B$13=0,A72&lt;$B$15+$B$13))</f>
        <v>1</v>
      </c>
      <c r="K72" s="12">
        <f>IF(E72,$B$16*I72*G72*IF(D72=0,1,(1-(1+D72)^-1)/(12*(1-(1+D72)^(-1/12)))),0)</f>
        <v>0</v>
      </c>
      <c r="L72" s="12">
        <f ca="1">IF(J72,I72*G72*F72*H72,0)</f>
        <v>4.7534782899575837E-7</v>
      </c>
      <c r="M72" s="12">
        <f ca="1">K72+L72</f>
        <v>4.7534782899575837E-7</v>
      </c>
    </row>
    <row r="73" spans="1:13">
      <c r="A73" s="10">
        <v>51</v>
      </c>
      <c r="B73" s="10">
        <f t="shared" si="0"/>
        <v>116</v>
      </c>
      <c r="C73" s="11">
        <f ca="1">OFFSET(Mort_Start,MATCH(MIN(120,B73),Mort_Age_Range,0),0)</f>
        <v>0.49975000000000003</v>
      </c>
      <c r="D73" s="20">
        <f>IF(A73&lt;5,$B$8,IF(A73&lt;20,$B$9,$B$10))</f>
        <v>5.5E-2</v>
      </c>
      <c r="E73" s="3" t="b">
        <f>AND(A73&gt;=$B$15,A73&lt;$B$15+$B$12)</f>
        <v>0</v>
      </c>
      <c r="F73" s="12">
        <f ca="1">IF(A73=0,1,F72*(1-C72))</f>
        <v>4.5574196711691445E-6</v>
      </c>
      <c r="G73" s="12">
        <f t="shared" si="1"/>
        <v>6.5181531242398047E-2</v>
      </c>
      <c r="H73" s="12">
        <f ca="1">13/24+11/24/(1+D73)*(1-C73)</f>
        <v>0.75899486571879926</v>
      </c>
      <c r="I73" s="12">
        <f>(1+$B$14)^(A73-$B$15)</f>
        <v>1</v>
      </c>
      <c r="J73" s="3" t="b">
        <f>AND(A73&gt;=$B$15+$B$12,OR($B$13=0,A73&lt;$B$15+$B$13))</f>
        <v>1</v>
      </c>
      <c r="K73" s="12">
        <f>IF(E73,$B$16*I73*G73*IF(D73=0,1,(1-(1+D73)^-1)/(12*(1-(1+D73)^(-1/12)))),0)</f>
        <v>0</v>
      </c>
      <c r="L73" s="12">
        <f ca="1">IF(J73,I73*G73*F73*H73,0)</f>
        <v>2.2546670565742037E-7</v>
      </c>
      <c r="M73" s="12">
        <f ca="1">K73+L73</f>
        <v>2.2546670565742037E-7</v>
      </c>
    </row>
    <row r="74" spans="1:13">
      <c r="A74" s="10">
        <v>52</v>
      </c>
      <c r="B74" s="10">
        <f t="shared" si="0"/>
        <v>117</v>
      </c>
      <c r="C74" s="11">
        <f ca="1">OFFSET(Mort_Start,MATCH(MIN(120,B74),Mort_Age_Range,0),0)</f>
        <v>0.49987999999999999</v>
      </c>
      <c r="D74" s="20">
        <f>IF(A74&lt;5,$B$8,IF(A74&lt;20,$B$9,$B$10))</f>
        <v>5.5E-2</v>
      </c>
      <c r="E74" s="3" t="b">
        <f>AND(A74&gt;=$B$15,A74&lt;$B$15+$B$12)</f>
        <v>0</v>
      </c>
      <c r="F74" s="12">
        <f ca="1">IF(A74=0,1,F73*(1-C73))</f>
        <v>2.2798491905023643E-6</v>
      </c>
      <c r="G74" s="12">
        <f t="shared" si="1"/>
        <v>6.1783441935922327E-2</v>
      </c>
      <c r="H74" s="12">
        <f ca="1">13/24+11/24/(1+D74)*(1-C74)</f>
        <v>0.75893838862559238</v>
      </c>
      <c r="I74" s="12">
        <f>(1+$B$14)^(A74-$B$15)</f>
        <v>1</v>
      </c>
      <c r="J74" s="3" t="b">
        <f>AND(A74&gt;=$B$15+$B$12,OR($B$13=0,A74&lt;$B$15+$B$13))</f>
        <v>1</v>
      </c>
      <c r="K74" s="12">
        <f>IF(E74,$B$16*I74*G74*IF(D74=0,1,(1-(1+D74)^-1)/(12*(1-(1+D74)^(-1/12)))),0)</f>
        <v>0</v>
      </c>
      <c r="L74" s="12">
        <f ca="1">IF(J74,I74*G74*F74*H74,0)</f>
        <v>1.06901731544746E-7</v>
      </c>
      <c r="M74" s="12">
        <f ca="1">K74+L74</f>
        <v>1.06901731544746E-7</v>
      </c>
    </row>
    <row r="75" spans="1:13">
      <c r="A75" s="10">
        <v>53</v>
      </c>
      <c r="B75" s="10">
        <f t="shared" si="0"/>
        <v>118</v>
      </c>
      <c r="C75" s="11">
        <f ca="1">OFFSET(Mort_Start,MATCH(MIN(120,B75),Mort_Age_Range,0),0)</f>
        <v>0.49995000000000001</v>
      </c>
      <c r="D75" s="20">
        <f>IF(A75&lt;5,$B$8,IF(A75&lt;20,$B$9,$B$10))</f>
        <v>5.5E-2</v>
      </c>
      <c r="E75" s="3" t="b">
        <f>AND(A75&gt;=$B$15,A75&lt;$B$15+$B$12)</f>
        <v>0</v>
      </c>
      <c r="F75" s="12">
        <f ca="1">IF(A75=0,1,F74*(1-C74))</f>
        <v>1.1401981771540424E-6</v>
      </c>
      <c r="G75" s="12">
        <f t="shared" si="1"/>
        <v>5.8562504204665709E-2</v>
      </c>
      <c r="H75" s="12">
        <f ca="1">13/24+11/24/(1+D75)*(1-C75)</f>
        <v>0.75890797788309627</v>
      </c>
      <c r="I75" s="12">
        <f>(1+$B$14)^(A75-$B$15)</f>
        <v>1</v>
      </c>
      <c r="J75" s="3" t="b">
        <f>AND(A75&gt;=$B$15+$B$12,OR($B$13=0,A75&lt;$B$15+$B$13))</f>
        <v>1</v>
      </c>
      <c r="K75" s="12">
        <f>IF(E75,$B$16*I75*G75*IF(D75=0,1,(1-(1+D75)^-1)/(12*(1-(1+D75)^(-1/12)))),0)</f>
        <v>0</v>
      </c>
      <c r="L75" s="12">
        <f ca="1">IF(J75,I75*G75*F75*H75,0)</f>
        <v>5.0674456572716511E-8</v>
      </c>
      <c r="M75" s="12">
        <f ca="1">K75+L75</f>
        <v>5.0674456572716511E-8</v>
      </c>
    </row>
    <row r="76" spans="1:13">
      <c r="A76" s="10">
        <v>54</v>
      </c>
      <c r="B76" s="10">
        <f t="shared" si="0"/>
        <v>119</v>
      </c>
      <c r="C76" s="11">
        <f ca="1">OFFSET(Mort_Start,MATCH(MIN(120,B76),Mort_Age_Range,0),0)</f>
        <v>0.5</v>
      </c>
      <c r="D76" s="20">
        <f>IF(A76&lt;5,$B$8,IF(A76&lt;20,$B$9,$B$10))</f>
        <v>5.5E-2</v>
      </c>
      <c r="E76" s="3" t="b">
        <f>AND(A76&gt;=$B$15,A76&lt;$B$15+$B$12)</f>
        <v>0</v>
      </c>
      <c r="F76" s="12">
        <f ca="1">IF(A76=0,1,F75*(1-C75))</f>
        <v>5.701560984858789E-7</v>
      </c>
      <c r="G76" s="12">
        <f t="shared" si="1"/>
        <v>5.5509482658450918E-2</v>
      </c>
      <c r="H76" s="12">
        <f ca="1">13/24+11/24/(1+D76)*(1-C76)</f>
        <v>0.75888625592417058</v>
      </c>
      <c r="I76" s="12">
        <f>(1+$B$14)^(A76-$B$15)</f>
        <v>1</v>
      </c>
      <c r="J76" s="3" t="b">
        <f>AND(A76&gt;=$B$15+$B$12,OR($B$13=0,A76&lt;$B$15+$B$13))</f>
        <v>1</v>
      </c>
      <c r="K76" s="12">
        <f>IF(E76,$B$16*I76*G76*IF(D76=0,1,(1-(1+D76)^-1)/(12*(1-(1+D76)^(-1/12)))),0)</f>
        <v>0</v>
      </c>
      <c r="L76" s="12">
        <f ca="1">IF(J76,I76*G76*F76*H76,0)</f>
        <v>2.4018044282462546E-8</v>
      </c>
      <c r="M76" s="12">
        <f ca="1">K76+L76</f>
        <v>2.4018044282462546E-8</v>
      </c>
    </row>
    <row r="77" spans="1:13">
      <c r="A77" s="10">
        <v>55</v>
      </c>
      <c r="B77" s="10">
        <f t="shared" si="0"/>
        <v>120</v>
      </c>
      <c r="C77" s="11">
        <f ca="1">OFFSET(Mort_Start,MATCH(MIN(120,B77),Mort_Age_Range,0),0)</f>
        <v>1</v>
      </c>
      <c r="D77" s="20">
        <f>IF(A77&lt;5,$B$8,IF(A77&lt;20,$B$9,$B$10))</f>
        <v>5.5E-2</v>
      </c>
      <c r="E77" s="3" t="b">
        <f>AND(A77&gt;=$B$15,A77&lt;$B$15+$B$12)</f>
        <v>0</v>
      </c>
      <c r="F77" s="12">
        <f ca="1">IF(A77=0,1,F76*(1-C76))</f>
        <v>2.8507804924293945E-7</v>
      </c>
      <c r="G77" s="12">
        <f t="shared" si="1"/>
        <v>5.2615623372939263E-2</v>
      </c>
      <c r="H77" s="12">
        <f ca="1">13/24+11/24/(1+D77)*(1-C77)</f>
        <v>0.54166666666666663</v>
      </c>
      <c r="I77" s="12">
        <f>(1+$B$14)^(A77-$B$15)</f>
        <v>1</v>
      </c>
      <c r="J77" s="3" t="b">
        <f>AND(A77&gt;=$B$15+$B$12,OR($B$13=0,A77&lt;$B$15+$B$13))</f>
        <v>1</v>
      </c>
      <c r="K77" s="12">
        <f>IF(E77,$B$16*I77*G77*IF(D77=0,1,(1-(1+D77)^-1)/(12*(1-(1+D77)^(-1/12)))),0)</f>
        <v>0</v>
      </c>
      <c r="L77" s="12">
        <f ca="1">IF(J77,I77*G77*F77*H77,0)</f>
        <v>8.1247612717151462E-9</v>
      </c>
      <c r="M77" s="12">
        <f ca="1">K77+L77</f>
        <v>8.1247612717151462E-9</v>
      </c>
    </row>
    <row r="78" spans="1:13">
      <c r="A78" s="10">
        <v>56</v>
      </c>
      <c r="B78" s="10">
        <f t="shared" si="0"/>
        <v>121</v>
      </c>
      <c r="C78" s="11">
        <f ca="1">OFFSET(Mort_Start,MATCH(MIN(120,B78),Mort_Age_Range,0),0)</f>
        <v>1</v>
      </c>
      <c r="D78" s="20">
        <f>IF(A78&lt;5,$B$8,IF(A78&lt;20,$B$9,$B$10))</f>
        <v>5.5E-2</v>
      </c>
      <c r="E78" s="3" t="b">
        <f>AND(A78&gt;=$B$15,A78&lt;$B$15+$B$12)</f>
        <v>0</v>
      </c>
      <c r="F78" s="12">
        <f ca="1">IF(A78=0,1,F77*(1-C77))</f>
        <v>0</v>
      </c>
      <c r="G78" s="12">
        <f t="shared" si="1"/>
        <v>4.9872628789515885E-2</v>
      </c>
      <c r="H78" s="12">
        <f ca="1">13/24+11/24/(1+D78)*(1-C78)</f>
        <v>0.54166666666666663</v>
      </c>
      <c r="I78" s="12">
        <f>(1+$B$14)^(A78-$B$15)</f>
        <v>1</v>
      </c>
      <c r="J78" s="3" t="b">
        <f>AND(A78&gt;=$B$15+$B$12,OR($B$13=0,A78&lt;$B$15+$B$13))</f>
        <v>1</v>
      </c>
      <c r="K78" s="12">
        <f>IF(E78,$B$16*I78*G78*IF(D78=0,1,(1-(1+D78)^-1)/(12*(1-(1+D78)^(-1/12)))),0)</f>
        <v>0</v>
      </c>
      <c r="L78" s="12">
        <f ca="1">IF(J78,I78*G78*F78*H78,0)</f>
        <v>0</v>
      </c>
      <c r="M78" s="12">
        <f ca="1">K78+L78</f>
        <v>0</v>
      </c>
    </row>
    <row r="79" spans="1:13">
      <c r="A79" s="10">
        <v>57</v>
      </c>
      <c r="B79" s="10">
        <f t="shared" si="0"/>
        <v>122</v>
      </c>
      <c r="C79" s="11">
        <f ca="1">OFFSET(Mort_Start,MATCH(MIN(120,B79),Mort_Age_Range,0),0)</f>
        <v>1</v>
      </c>
      <c r="D79" s="20">
        <f>IF(A79&lt;5,$B$8,IF(A79&lt;20,$B$9,$B$10))</f>
        <v>5.5E-2</v>
      </c>
      <c r="E79" s="3" t="b">
        <f>AND(A79&gt;=$B$15,A79&lt;$B$15+$B$12)</f>
        <v>0</v>
      </c>
      <c r="F79" s="12">
        <f ca="1">IF(A79=0,1,F78*(1-C78))</f>
        <v>0</v>
      </c>
      <c r="G79" s="12">
        <f t="shared" si="1"/>
        <v>4.727263392371174E-2</v>
      </c>
      <c r="H79" s="12">
        <f ca="1">13/24+11/24/(1+D79)*(1-C79)</f>
        <v>0.54166666666666663</v>
      </c>
      <c r="I79" s="12">
        <f>(1+$B$14)^(A79-$B$15)</f>
        <v>1</v>
      </c>
      <c r="J79" s="3" t="b">
        <f>AND(A79&gt;=$B$15+$B$12,OR($B$13=0,A79&lt;$B$15+$B$13))</f>
        <v>1</v>
      </c>
      <c r="K79" s="12">
        <f>IF(E79,$B$16*I79*G79*IF(D79=0,1,(1-(1+D79)^-1)/(12*(1-(1+D79)^(-1/12)))),0)</f>
        <v>0</v>
      </c>
      <c r="L79" s="12">
        <f ca="1">IF(J79,I79*G79*F79*H79,0)</f>
        <v>0</v>
      </c>
      <c r="M79" s="12">
        <f ca="1">K79+L79</f>
        <v>0</v>
      </c>
    </row>
    <row r="80" spans="1:13">
      <c r="A80" s="10">
        <v>58</v>
      </c>
      <c r="B80" s="10">
        <f t="shared" si="0"/>
        <v>123</v>
      </c>
      <c r="C80" s="11">
        <f ca="1">OFFSET(Mort_Start,MATCH(MIN(120,B80),Mort_Age_Range,0),0)</f>
        <v>1</v>
      </c>
      <c r="D80" s="20">
        <f>IF(A80&lt;5,$B$8,IF(A80&lt;20,$B$9,$B$10))</f>
        <v>5.5E-2</v>
      </c>
      <c r="E80" s="3" t="b">
        <f>AND(A80&gt;=$B$15,A80&lt;$B$15+$B$12)</f>
        <v>0</v>
      </c>
      <c r="F80" s="12">
        <f ca="1">IF(A80=0,1,F79*(1-C79))</f>
        <v>0</v>
      </c>
      <c r="G80" s="12">
        <f t="shared" si="1"/>
        <v>4.4808183813944774E-2</v>
      </c>
      <c r="H80" s="12">
        <f ca="1">13/24+11/24/(1+D80)*(1-C80)</f>
        <v>0.54166666666666663</v>
      </c>
      <c r="I80" s="12">
        <f>(1+$B$14)^(A80-$B$15)</f>
        <v>1</v>
      </c>
      <c r="J80" s="3" t="b">
        <f>AND(A80&gt;=$B$15+$B$12,OR($B$13=0,A80&lt;$B$15+$B$13))</f>
        <v>1</v>
      </c>
      <c r="K80" s="12">
        <f>IF(E80,$B$16*I80*G80*IF(D80=0,1,(1-(1+D80)^-1)/(12*(1-(1+D80)^(-1/12)))),0)</f>
        <v>0</v>
      </c>
      <c r="L80" s="12">
        <f ca="1">IF(J80,I80*G80*F80*H80,0)</f>
        <v>0</v>
      </c>
      <c r="M80" s="12">
        <f ca="1">K80+L80</f>
        <v>0</v>
      </c>
    </row>
    <row r="81" spans="1:13">
      <c r="A81" s="10">
        <v>59</v>
      </c>
      <c r="B81" s="10">
        <f t="shared" si="0"/>
        <v>124</v>
      </c>
      <c r="C81" s="11">
        <f ca="1">OFFSET(Mort_Start,MATCH(MIN(120,B81),Mort_Age_Range,0),0)</f>
        <v>1</v>
      </c>
      <c r="D81" s="20">
        <f>IF(A81&lt;5,$B$8,IF(A81&lt;20,$B$9,$B$10))</f>
        <v>5.5E-2</v>
      </c>
      <c r="E81" s="3" t="b">
        <f>AND(A81&gt;=$B$15,A81&lt;$B$15+$B$12)</f>
        <v>0</v>
      </c>
      <c r="F81" s="12">
        <f ca="1">IF(A81=0,1,F80*(1-C80))</f>
        <v>0</v>
      </c>
      <c r="G81" s="12">
        <f t="shared" si="1"/>
        <v>4.2472212145919223E-2</v>
      </c>
      <c r="H81" s="12">
        <f ca="1">13/24+11/24/(1+D81)*(1-C81)</f>
        <v>0.54166666666666663</v>
      </c>
      <c r="I81" s="12">
        <f>(1+$B$14)^(A81-$B$15)</f>
        <v>1</v>
      </c>
      <c r="J81" s="3" t="b">
        <f>AND(A81&gt;=$B$15+$B$12,OR($B$13=0,A81&lt;$B$15+$B$13))</f>
        <v>1</v>
      </c>
      <c r="K81" s="12">
        <f>IF(E81,$B$16*I81*G81*IF(D81=0,1,(1-(1+D81)^-1)/(12*(1-(1+D81)^(-1/12)))),0)</f>
        <v>0</v>
      </c>
      <c r="L81" s="12">
        <f ca="1">IF(J81,I81*G81*F81*H81,0)</f>
        <v>0</v>
      </c>
      <c r="M81" s="12">
        <f ca="1">K81+L81</f>
        <v>0</v>
      </c>
    </row>
    <row r="82" spans="1:13">
      <c r="A82" s="10">
        <v>60</v>
      </c>
      <c r="B82" s="10">
        <f t="shared" si="0"/>
        <v>125</v>
      </c>
      <c r="C82" s="11">
        <f ca="1">OFFSET(Mort_Start,MATCH(MIN(120,B82),Mort_Age_Range,0),0)</f>
        <v>1</v>
      </c>
      <c r="D82" s="20">
        <f>IF(A82&lt;5,$B$8,IF(A82&lt;20,$B$9,$B$10))</f>
        <v>5.5E-2</v>
      </c>
      <c r="E82" s="3" t="b">
        <f>AND(A82&gt;=$B$15,A82&lt;$B$15+$B$12)</f>
        <v>0</v>
      </c>
      <c r="F82" s="12">
        <f ca="1">IF(A82=0,1,F81*(1-C81))</f>
        <v>0</v>
      </c>
      <c r="G82" s="12">
        <f t="shared" si="1"/>
        <v>4.0258020991392633E-2</v>
      </c>
      <c r="H82" s="12">
        <f ca="1">13/24+11/24/(1+D82)*(1-C82)</f>
        <v>0.54166666666666663</v>
      </c>
      <c r="I82" s="12">
        <f>(1+$B$14)^(A82-$B$15)</f>
        <v>1</v>
      </c>
      <c r="J82" s="3" t="b">
        <f>AND(A82&gt;=$B$15+$B$12,OR($B$13=0,A82&lt;$B$15+$B$13))</f>
        <v>1</v>
      </c>
      <c r="K82" s="12">
        <f>IF(E82,$B$16*I82*G82*IF(D82=0,1,(1-(1+D82)^-1)/(12*(1-(1+D82)^(-1/12)))),0)</f>
        <v>0</v>
      </c>
      <c r="L82" s="12">
        <f ca="1">IF(J82,I82*G82*F82*H82,0)</f>
        <v>0</v>
      </c>
      <c r="M82" s="12">
        <f ca="1">K82+L82</f>
        <v>0</v>
      </c>
    </row>
    <row r="83" spans="1:13">
      <c r="A83" s="10">
        <v>61</v>
      </c>
      <c r="B83" s="10">
        <f t="shared" si="0"/>
        <v>126</v>
      </c>
      <c r="C83" s="11">
        <f ca="1">OFFSET(Mort_Start,MATCH(MIN(120,B83),Mort_Age_Range,0),0)</f>
        <v>1</v>
      </c>
      <c r="D83" s="20">
        <f>IF(A83&lt;5,$B$8,IF(A83&lt;20,$B$9,$B$10))</f>
        <v>5.5E-2</v>
      </c>
      <c r="E83" s="3" t="b">
        <f>AND(A83&gt;=$B$15,A83&lt;$B$15+$B$12)</f>
        <v>0</v>
      </c>
      <c r="F83" s="12">
        <f ca="1">IF(A83=0,1,F82*(1-C82))</f>
        <v>0</v>
      </c>
      <c r="G83" s="12">
        <f t="shared" si="1"/>
        <v>3.8159261603215769E-2</v>
      </c>
      <c r="H83" s="12">
        <f ca="1">13/24+11/24/(1+D83)*(1-C83)</f>
        <v>0.54166666666666663</v>
      </c>
      <c r="I83" s="12">
        <f>(1+$B$14)^(A83-$B$15)</f>
        <v>1</v>
      </c>
      <c r="J83" s="3" t="b">
        <f>AND(A83&gt;=$B$15+$B$12,OR($B$13=0,A83&lt;$B$15+$B$13))</f>
        <v>1</v>
      </c>
      <c r="K83" s="12">
        <f>IF(E83,$B$16*I83*G83*IF(D83=0,1,(1-(1+D83)^-1)/(12*(1-(1+D83)^(-1/12)))),0)</f>
        <v>0</v>
      </c>
      <c r="L83" s="12">
        <f ca="1">IF(J83,I83*G83*F83*H83,0)</f>
        <v>0</v>
      </c>
      <c r="M83" s="12">
        <f ca="1">K83+L83</f>
        <v>0</v>
      </c>
    </row>
    <row r="84" spans="1:13">
      <c r="A84" s="10">
        <v>62</v>
      </c>
      <c r="B84" s="10">
        <f t="shared" si="0"/>
        <v>127</v>
      </c>
      <c r="C84" s="11">
        <f ca="1">OFFSET(Mort_Start,MATCH(MIN(120,B84),Mort_Age_Range,0),0)</f>
        <v>1</v>
      </c>
      <c r="D84" s="20">
        <f>IF(A84&lt;5,$B$8,IF(A84&lt;20,$B$9,$B$10))</f>
        <v>5.5E-2</v>
      </c>
      <c r="E84" s="3" t="b">
        <f>AND(A84&gt;=$B$15,A84&lt;$B$15+$B$12)</f>
        <v>0</v>
      </c>
      <c r="F84" s="12">
        <f ca="1">IF(A84=0,1,F83*(1-C83))</f>
        <v>0</v>
      </c>
      <c r="G84" s="12">
        <f t="shared" si="1"/>
        <v>3.6169916211578924E-2</v>
      </c>
      <c r="H84" s="12">
        <f ca="1">13/24+11/24/(1+D84)*(1-C84)</f>
        <v>0.54166666666666663</v>
      </c>
      <c r="I84" s="12">
        <f>(1+$B$14)^(A84-$B$15)</f>
        <v>1</v>
      </c>
      <c r="J84" s="3" t="b">
        <f>AND(A84&gt;=$B$15+$B$12,OR($B$13=0,A84&lt;$B$15+$B$13))</f>
        <v>1</v>
      </c>
      <c r="K84" s="12">
        <f>IF(E84,$B$16*I84*G84*IF(D84=0,1,(1-(1+D84)^-1)/(12*(1-(1+D84)^(-1/12)))),0)</f>
        <v>0</v>
      </c>
      <c r="L84" s="12">
        <f ca="1">IF(J84,I84*G84*F84*H84,0)</f>
        <v>0</v>
      </c>
      <c r="M84" s="12">
        <f ca="1">K84+L84</f>
        <v>0</v>
      </c>
    </row>
    <row r="85" spans="1:13">
      <c r="A85" s="10">
        <v>63</v>
      </c>
      <c r="B85" s="10">
        <f t="shared" si="0"/>
        <v>128</v>
      </c>
      <c r="C85" s="11">
        <f ca="1">OFFSET(Mort_Start,MATCH(MIN(120,B85),Mort_Age_Range,0),0)</f>
        <v>1</v>
      </c>
      <c r="D85" s="20">
        <f>IF(A85&lt;5,$B$8,IF(A85&lt;20,$B$9,$B$10))</f>
        <v>5.5E-2</v>
      </c>
      <c r="E85" s="3" t="b">
        <f>AND(A85&gt;=$B$15,A85&lt;$B$15+$B$12)</f>
        <v>0</v>
      </c>
      <c r="F85" s="12">
        <f ca="1">IF(A85=0,1,F84*(1-C84))</f>
        <v>0</v>
      </c>
      <c r="G85" s="12">
        <f t="shared" si="1"/>
        <v>3.4284280769269128E-2</v>
      </c>
      <c r="H85" s="12">
        <f ca="1">13/24+11/24/(1+D85)*(1-C85)</f>
        <v>0.54166666666666663</v>
      </c>
      <c r="I85" s="12">
        <f>(1+$B$14)^(A85-$B$15)</f>
        <v>1</v>
      </c>
      <c r="J85" s="3" t="b">
        <f>AND(A85&gt;=$B$15+$B$12,OR($B$13=0,A85&lt;$B$15+$B$13))</f>
        <v>1</v>
      </c>
      <c r="K85" s="12">
        <f>IF(E85,$B$16*I85*G85*IF(D85=0,1,(1-(1+D85)^-1)/(12*(1-(1+D85)^(-1/12)))),0)</f>
        <v>0</v>
      </c>
      <c r="L85" s="12">
        <f ca="1">IF(J85,I85*G85*F85*H85,0)</f>
        <v>0</v>
      </c>
      <c r="M85" s="12">
        <f ca="1">K85+L85</f>
        <v>0</v>
      </c>
    </row>
    <row r="86" spans="1:13">
      <c r="A86" s="10">
        <v>64</v>
      </c>
      <c r="B86" s="10">
        <f t="shared" ref="B86:B142" si="2">$B$7+A86</f>
        <v>129</v>
      </c>
      <c r="C86" s="11">
        <f ca="1">OFFSET(Mort_Start,MATCH(MIN(120,B86),Mort_Age_Range,0),0)</f>
        <v>1</v>
      </c>
      <c r="D86" s="20">
        <f>IF(A86&lt;5,$B$8,IF(A86&lt;20,$B$9,$B$10))</f>
        <v>5.5E-2</v>
      </c>
      <c r="E86" s="3" t="b">
        <f>AND(A86&gt;=$B$15,A86&lt;$B$15+$B$12)</f>
        <v>0</v>
      </c>
      <c r="F86" s="12">
        <f ca="1">IF(A86=0,1,F85*(1-C85))</f>
        <v>0</v>
      </c>
      <c r="G86" s="12">
        <f t="shared" ref="G86:G142" si="3">IF(D86=0,1,(1+D86)^-A86)</f>
        <v>3.2496948596463626E-2</v>
      </c>
      <c r="H86" s="12">
        <f ca="1">13/24+11/24/(1+D86)*(1-C86)</f>
        <v>0.54166666666666663</v>
      </c>
      <c r="I86" s="12">
        <f>(1+$B$14)^(A86-$B$15)</f>
        <v>1</v>
      </c>
      <c r="J86" s="3" t="b">
        <f>AND(A86&gt;=$B$15+$B$12,OR($B$13=0,A86&lt;$B$15+$B$13))</f>
        <v>1</v>
      </c>
      <c r="K86" s="12">
        <f>IF(E86,$B$16*I86*G86*IF(D86=0,1,(1-(1+D86)^-1)/(12*(1-(1+D86)^(-1/12)))),0)</f>
        <v>0</v>
      </c>
      <c r="L86" s="12">
        <f ca="1">IF(J86,I86*G86*F86*H86,0)</f>
        <v>0</v>
      </c>
      <c r="M86" s="12">
        <f ca="1">K86+L86</f>
        <v>0</v>
      </c>
    </row>
    <row r="87" spans="1:13">
      <c r="A87" s="10">
        <v>65</v>
      </c>
      <c r="B87" s="10">
        <f t="shared" si="2"/>
        <v>130</v>
      </c>
      <c r="C87" s="11">
        <f ca="1">OFFSET(Mort_Start,MATCH(MIN(120,B87),Mort_Age_Range,0),0)</f>
        <v>1</v>
      </c>
      <c r="D87" s="20">
        <f>IF(A87&lt;5,$B$8,IF(A87&lt;20,$B$9,$B$10))</f>
        <v>5.5E-2</v>
      </c>
      <c r="E87" s="3" t="b">
        <f>AND(A87&gt;=$B$15,A87&lt;$B$15+$B$12)</f>
        <v>0</v>
      </c>
      <c r="F87" s="12">
        <f ca="1">IF(A87=0,1,F86*(1-C86))</f>
        <v>0</v>
      </c>
      <c r="G87" s="12">
        <f t="shared" si="3"/>
        <v>3.0802794878164577E-2</v>
      </c>
      <c r="H87" s="12">
        <f ca="1">13/24+11/24/(1+D87)*(1-C87)</f>
        <v>0.54166666666666663</v>
      </c>
      <c r="I87" s="12">
        <f>(1+$B$14)^(A87-$B$15)</f>
        <v>1</v>
      </c>
      <c r="J87" s="3" t="b">
        <f>AND(A87&gt;=$B$15+$B$12,OR($B$13=0,A87&lt;$B$15+$B$13))</f>
        <v>1</v>
      </c>
      <c r="K87" s="12">
        <f>IF(E87,$B$16*I87*G87*IF(D87=0,1,(1-(1+D87)^-1)/(12*(1-(1+D87)^(-1/12)))),0)</f>
        <v>0</v>
      </c>
      <c r="L87" s="12">
        <f ca="1">IF(J87,I87*G87*F87*H87,0)</f>
        <v>0</v>
      </c>
      <c r="M87" s="12">
        <f ca="1">K87+L87</f>
        <v>0</v>
      </c>
    </row>
    <row r="88" spans="1:13">
      <c r="A88" s="10">
        <v>66</v>
      </c>
      <c r="B88" s="10">
        <f t="shared" si="2"/>
        <v>131</v>
      </c>
      <c r="C88" s="11">
        <f ca="1">OFFSET(Mort_Start,MATCH(MIN(120,B88),Mort_Age_Range,0),0)</f>
        <v>1</v>
      </c>
      <c r="D88" s="20">
        <f>IF(A88&lt;5,$B$8,IF(A88&lt;20,$B$9,$B$10))</f>
        <v>5.5E-2</v>
      </c>
      <c r="E88" s="3" t="b">
        <f>AND(A88&gt;=$B$15,A88&lt;$B$15+$B$12)</f>
        <v>0</v>
      </c>
      <c r="F88" s="12">
        <f ca="1">IF(A88=0,1,F87*(1-C87))</f>
        <v>0</v>
      </c>
      <c r="G88" s="12">
        <f t="shared" si="3"/>
        <v>2.9196961969824242E-2</v>
      </c>
      <c r="H88" s="12">
        <f ca="1">13/24+11/24/(1+D88)*(1-C88)</f>
        <v>0.54166666666666663</v>
      </c>
      <c r="I88" s="12">
        <f>(1+$B$14)^(A88-$B$15)</f>
        <v>1</v>
      </c>
      <c r="J88" s="3" t="b">
        <f>AND(A88&gt;=$B$15+$B$12,OR($B$13=0,A88&lt;$B$15+$B$13))</f>
        <v>1</v>
      </c>
      <c r="K88" s="12">
        <f>IF(E88,$B$16*I88*G88*IF(D88=0,1,(1-(1+D88)^-1)/(12*(1-(1+D88)^(-1/12)))),0)</f>
        <v>0</v>
      </c>
      <c r="L88" s="12">
        <f ca="1">IF(J88,I88*G88*F88*H88,0)</f>
        <v>0</v>
      </c>
      <c r="M88" s="12">
        <f ca="1">K88+L88</f>
        <v>0</v>
      </c>
    </row>
    <row r="89" spans="1:13">
      <c r="A89" s="10">
        <v>67</v>
      </c>
      <c r="B89" s="10">
        <f t="shared" si="2"/>
        <v>132</v>
      </c>
      <c r="C89" s="11">
        <f ca="1">OFFSET(Mort_Start,MATCH(MIN(120,B89),Mort_Age_Range,0),0)</f>
        <v>1</v>
      </c>
      <c r="D89" s="20">
        <f>IF(A89&lt;5,$B$8,IF(A89&lt;20,$B$9,$B$10))</f>
        <v>5.5E-2</v>
      </c>
      <c r="E89" s="3" t="b">
        <f>AND(A89&gt;=$B$15,A89&lt;$B$15+$B$12)</f>
        <v>0</v>
      </c>
      <c r="F89" s="12">
        <f ca="1">IF(A89=0,1,F88*(1-C88))</f>
        <v>0</v>
      </c>
      <c r="G89" s="12">
        <f t="shared" si="3"/>
        <v>2.7674845469027726E-2</v>
      </c>
      <c r="H89" s="12">
        <f ca="1">13/24+11/24/(1+D89)*(1-C89)</f>
        <v>0.54166666666666663</v>
      </c>
      <c r="I89" s="12">
        <f>(1+$B$14)^(A89-$B$15)</f>
        <v>1</v>
      </c>
      <c r="J89" s="3" t="b">
        <f>AND(A89&gt;=$B$15+$B$12,OR($B$13=0,A89&lt;$B$15+$B$13))</f>
        <v>1</v>
      </c>
      <c r="K89" s="12">
        <f>IF(E89,$B$16*I89*G89*IF(D89=0,1,(1-(1+D89)^-1)/(12*(1-(1+D89)^(-1/12)))),0)</f>
        <v>0</v>
      </c>
      <c r="L89" s="12">
        <f ca="1">IF(J89,I89*G89*F89*H89,0)</f>
        <v>0</v>
      </c>
      <c r="M89" s="12">
        <f ca="1">K89+L89</f>
        <v>0</v>
      </c>
    </row>
    <row r="90" spans="1:13">
      <c r="A90" s="10">
        <v>68</v>
      </c>
      <c r="B90" s="10">
        <f t="shared" si="2"/>
        <v>133</v>
      </c>
      <c r="C90" s="11">
        <f ca="1">OFFSET(Mort_Start,MATCH(MIN(120,B90),Mort_Age_Range,0),0)</f>
        <v>1</v>
      </c>
      <c r="D90" s="20">
        <f>IF(A90&lt;5,$B$8,IF(A90&lt;20,$B$9,$B$10))</f>
        <v>5.5E-2</v>
      </c>
      <c r="E90" s="3" t="b">
        <f>AND(A90&gt;=$B$15,A90&lt;$B$15+$B$12)</f>
        <v>0</v>
      </c>
      <c r="F90" s="12">
        <f ca="1">IF(A90=0,1,F89*(1-C89))</f>
        <v>0</v>
      </c>
      <c r="G90" s="12">
        <f t="shared" si="3"/>
        <v>2.623208101329642E-2</v>
      </c>
      <c r="H90" s="12">
        <f ca="1">13/24+11/24/(1+D90)*(1-C90)</f>
        <v>0.54166666666666663</v>
      </c>
      <c r="I90" s="12">
        <f>(1+$B$14)^(A90-$B$15)</f>
        <v>1</v>
      </c>
      <c r="J90" s="3" t="b">
        <f>AND(A90&gt;=$B$15+$B$12,OR($B$13=0,A90&lt;$B$15+$B$13))</f>
        <v>1</v>
      </c>
      <c r="K90" s="12">
        <f>IF(E90,$B$16*I90*G90*IF(D90=0,1,(1-(1+D90)^-1)/(12*(1-(1+D90)^(-1/12)))),0)</f>
        <v>0</v>
      </c>
      <c r="L90" s="12">
        <f ca="1">IF(J90,I90*G90*F90*H90,0)</f>
        <v>0</v>
      </c>
      <c r="M90" s="12">
        <f ca="1">K90+L90</f>
        <v>0</v>
      </c>
    </row>
    <row r="91" spans="1:13">
      <c r="A91" s="10">
        <v>69</v>
      </c>
      <c r="B91" s="10">
        <f t="shared" si="2"/>
        <v>134</v>
      </c>
      <c r="C91" s="11">
        <f ca="1">OFFSET(Mort_Start,MATCH(MIN(120,B91),Mort_Age_Range,0),0)</f>
        <v>1</v>
      </c>
      <c r="D91" s="20">
        <f>IF(A91&lt;5,$B$8,IF(A91&lt;20,$B$9,$B$10))</f>
        <v>5.5E-2</v>
      </c>
      <c r="E91" s="3" t="b">
        <f>AND(A91&gt;=$B$15,A91&lt;$B$15+$B$12)</f>
        <v>0</v>
      </c>
      <c r="F91" s="12">
        <f ca="1">IF(A91=0,1,F90*(1-C90))</f>
        <v>0</v>
      </c>
      <c r="G91" s="12">
        <f t="shared" si="3"/>
        <v>2.4864531766157744E-2</v>
      </c>
      <c r="H91" s="12">
        <f ca="1">13/24+11/24/(1+D91)*(1-C91)</f>
        <v>0.54166666666666663</v>
      </c>
      <c r="I91" s="12">
        <f>(1+$B$14)^(A91-$B$15)</f>
        <v>1</v>
      </c>
      <c r="J91" s="3" t="b">
        <f>AND(A91&gt;=$B$15+$B$12,OR($B$13=0,A91&lt;$B$15+$B$13))</f>
        <v>1</v>
      </c>
      <c r="K91" s="12">
        <f>IF(E91,$B$16*I91*G91*IF(D91=0,1,(1-(1+D91)^-1)/(12*(1-(1+D91)^(-1/12)))),0)</f>
        <v>0</v>
      </c>
      <c r="L91" s="12">
        <f ca="1">IF(J91,I91*G91*F91*H91,0)</f>
        <v>0</v>
      </c>
      <c r="M91" s="12">
        <f ca="1">K91+L91</f>
        <v>0</v>
      </c>
    </row>
    <row r="92" spans="1:13">
      <c r="A92" s="10">
        <v>70</v>
      </c>
      <c r="B92" s="10">
        <f t="shared" si="2"/>
        <v>135</v>
      </c>
      <c r="C92" s="11">
        <f ca="1">OFFSET(Mort_Start,MATCH(MIN(120,B92),Mort_Age_Range,0),0)</f>
        <v>1</v>
      </c>
      <c r="D92" s="20">
        <f>IF(A92&lt;5,$B$8,IF(A92&lt;20,$B$9,$B$10))</f>
        <v>5.5E-2</v>
      </c>
      <c r="E92" s="3" t="b">
        <f>AND(A92&gt;=$B$15,A92&lt;$B$15+$B$12)</f>
        <v>0</v>
      </c>
      <c r="F92" s="12">
        <f ca="1">IF(A92=0,1,F91*(1-C91))</f>
        <v>0</v>
      </c>
      <c r="G92" s="12">
        <f t="shared" si="3"/>
        <v>2.356827655559976E-2</v>
      </c>
      <c r="H92" s="12">
        <f ca="1">13/24+11/24/(1+D92)*(1-C92)</f>
        <v>0.54166666666666663</v>
      </c>
      <c r="I92" s="12">
        <f>(1+$B$14)^(A92-$B$15)</f>
        <v>1</v>
      </c>
      <c r="J92" s="3" t="b">
        <f>AND(A92&gt;=$B$15+$B$12,OR($B$13=0,A92&lt;$B$15+$B$13))</f>
        <v>1</v>
      </c>
      <c r="K92" s="12">
        <f>IF(E92,$B$16*I92*G92*IF(D92=0,1,(1-(1+D92)^-1)/(12*(1-(1+D92)^(-1/12)))),0)</f>
        <v>0</v>
      </c>
      <c r="L92" s="12">
        <f ca="1">IF(J92,I92*G92*F92*H92,0)</f>
        <v>0</v>
      </c>
      <c r="M92" s="12">
        <f ca="1">K92+L92</f>
        <v>0</v>
      </c>
    </row>
    <row r="93" spans="1:13">
      <c r="A93" s="10">
        <v>71</v>
      </c>
      <c r="B93" s="10">
        <f t="shared" si="2"/>
        <v>136</v>
      </c>
      <c r="C93" s="11">
        <f ca="1">OFFSET(Mort_Start,MATCH(MIN(120,B93),Mort_Age_Range,0),0)</f>
        <v>1</v>
      </c>
      <c r="D93" s="20">
        <f>IF(A93&lt;5,$B$8,IF(A93&lt;20,$B$9,$B$10))</f>
        <v>5.5E-2</v>
      </c>
      <c r="E93" s="3" t="b">
        <f>AND(A93&gt;=$B$15,A93&lt;$B$15+$B$12)</f>
        <v>0</v>
      </c>
      <c r="F93" s="12">
        <f ca="1">IF(A93=0,1,F92*(1-C92))</f>
        <v>0</v>
      </c>
      <c r="G93" s="12">
        <f t="shared" si="3"/>
        <v>2.2339598630900247E-2</v>
      </c>
      <c r="H93" s="12">
        <f ca="1">13/24+11/24/(1+D93)*(1-C93)</f>
        <v>0.54166666666666663</v>
      </c>
      <c r="I93" s="12">
        <f>(1+$B$14)^(A93-$B$15)</f>
        <v>1</v>
      </c>
      <c r="J93" s="3" t="b">
        <f>AND(A93&gt;=$B$15+$B$12,OR($B$13=0,A93&lt;$B$15+$B$13))</f>
        <v>1</v>
      </c>
      <c r="K93" s="12">
        <f>IF(E93,$B$16*I93*G93*IF(D93=0,1,(1-(1+D93)^-1)/(12*(1-(1+D93)^(-1/12)))),0)</f>
        <v>0</v>
      </c>
      <c r="L93" s="12">
        <f ca="1">IF(J93,I93*G93*F93*H93,0)</f>
        <v>0</v>
      </c>
      <c r="M93" s="12">
        <f ca="1">K93+L93</f>
        <v>0</v>
      </c>
    </row>
    <row r="94" spans="1:13">
      <c r="A94" s="10">
        <v>72</v>
      </c>
      <c r="B94" s="10">
        <f t="shared" si="2"/>
        <v>137</v>
      </c>
      <c r="C94" s="11">
        <f ca="1">OFFSET(Mort_Start,MATCH(MIN(120,B94),Mort_Age_Range,0),0)</f>
        <v>1</v>
      </c>
      <c r="D94" s="20">
        <f>IF(A94&lt;5,$B$8,IF(A94&lt;20,$B$9,$B$10))</f>
        <v>5.5E-2</v>
      </c>
      <c r="E94" s="3" t="b">
        <f>AND(A94&gt;=$B$15,A94&lt;$B$15+$B$12)</f>
        <v>0</v>
      </c>
      <c r="F94" s="12">
        <f ca="1">IF(A94=0,1,F93*(1-C93))</f>
        <v>0</v>
      </c>
      <c r="G94" s="12">
        <f t="shared" si="3"/>
        <v>2.117497500559265E-2</v>
      </c>
      <c r="H94" s="12">
        <f ca="1">13/24+11/24/(1+D94)*(1-C94)</f>
        <v>0.54166666666666663</v>
      </c>
      <c r="I94" s="12">
        <f>(1+$B$14)^(A94-$B$15)</f>
        <v>1</v>
      </c>
      <c r="J94" s="3" t="b">
        <f>AND(A94&gt;=$B$15+$B$12,OR($B$13=0,A94&lt;$B$15+$B$13))</f>
        <v>1</v>
      </c>
      <c r="K94" s="12">
        <f>IF(E94,$B$16*I94*G94*IF(D94=0,1,(1-(1+D94)^-1)/(12*(1-(1+D94)^(-1/12)))),0)</f>
        <v>0</v>
      </c>
      <c r="L94" s="12">
        <f ca="1">IF(J94,I94*G94*F94*H94,0)</f>
        <v>0</v>
      </c>
      <c r="M94" s="12">
        <f ca="1">K94+L94</f>
        <v>0</v>
      </c>
    </row>
    <row r="95" spans="1:13">
      <c r="A95" s="10">
        <v>73</v>
      </c>
      <c r="B95" s="10">
        <f t="shared" si="2"/>
        <v>138</v>
      </c>
      <c r="C95" s="11">
        <f ca="1">OFFSET(Mort_Start,MATCH(MIN(120,B95),Mort_Age_Range,0),0)</f>
        <v>1</v>
      </c>
      <c r="D95" s="20">
        <f>IF(A95&lt;5,$B$8,IF(A95&lt;20,$B$9,$B$10))</f>
        <v>5.5E-2</v>
      </c>
      <c r="E95" s="3" t="b">
        <f>AND(A95&gt;=$B$15,A95&lt;$B$15+$B$12)</f>
        <v>0</v>
      </c>
      <c r="F95" s="12">
        <f ca="1">IF(A95=0,1,F94*(1-C94))</f>
        <v>0</v>
      </c>
      <c r="G95" s="12">
        <f t="shared" si="3"/>
        <v>2.0071066356011993E-2</v>
      </c>
      <c r="H95" s="12">
        <f ca="1">13/24+11/24/(1+D95)*(1-C95)</f>
        <v>0.54166666666666663</v>
      </c>
      <c r="I95" s="12">
        <f>(1+$B$14)^(A95-$B$15)</f>
        <v>1</v>
      </c>
      <c r="J95" s="3" t="b">
        <f>AND(A95&gt;=$B$15+$B$12,OR($B$13=0,A95&lt;$B$15+$B$13))</f>
        <v>1</v>
      </c>
      <c r="K95" s="12">
        <f>IF(E95,$B$16*I95*G95*IF(D95=0,1,(1-(1+D95)^-1)/(12*(1-(1+D95)^(-1/12)))),0)</f>
        <v>0</v>
      </c>
      <c r="L95" s="12">
        <f ca="1">IF(J95,I95*G95*F95*H95,0)</f>
        <v>0</v>
      </c>
      <c r="M95" s="12">
        <f ca="1">K95+L95</f>
        <v>0</v>
      </c>
    </row>
    <row r="96" spans="1:13">
      <c r="A96" s="10">
        <v>74</v>
      </c>
      <c r="B96" s="10">
        <f t="shared" si="2"/>
        <v>139</v>
      </c>
      <c r="C96" s="11">
        <f ca="1">OFFSET(Mort_Start,MATCH(MIN(120,B96),Mort_Age_Range,0),0)</f>
        <v>1</v>
      </c>
      <c r="D96" s="20">
        <f>IF(A96&lt;5,$B$8,IF(A96&lt;20,$B$9,$B$10))</f>
        <v>5.5E-2</v>
      </c>
      <c r="E96" s="3" t="b">
        <f>AND(A96&gt;=$B$15,A96&lt;$B$15+$B$12)</f>
        <v>0</v>
      </c>
      <c r="F96" s="12">
        <f ca="1">IF(A96=0,1,F95*(1-C95))</f>
        <v>0</v>
      </c>
      <c r="G96" s="12">
        <f t="shared" si="3"/>
        <v>1.9024707446456863E-2</v>
      </c>
      <c r="H96" s="12">
        <f ca="1">13/24+11/24/(1+D96)*(1-C96)</f>
        <v>0.54166666666666663</v>
      </c>
      <c r="I96" s="12">
        <f>(1+$B$14)^(A96-$B$15)</f>
        <v>1</v>
      </c>
      <c r="J96" s="3" t="b">
        <f>AND(A96&gt;=$B$15+$B$12,OR($B$13=0,A96&lt;$B$15+$B$13))</f>
        <v>1</v>
      </c>
      <c r="K96" s="12">
        <f>IF(E96,$B$16*I96*G96*IF(D96=0,1,(1-(1+D96)^-1)/(12*(1-(1+D96)^(-1/12)))),0)</f>
        <v>0</v>
      </c>
      <c r="L96" s="12">
        <f ca="1">IF(J96,I96*G96*F96*H96,0)</f>
        <v>0</v>
      </c>
      <c r="M96" s="12">
        <f ca="1">K96+L96</f>
        <v>0</v>
      </c>
    </row>
    <row r="97" spans="1:13">
      <c r="A97" s="10">
        <v>75</v>
      </c>
      <c r="B97" s="10">
        <f t="shared" si="2"/>
        <v>140</v>
      </c>
      <c r="C97" s="11">
        <f ca="1">OFFSET(Mort_Start,MATCH(MIN(120,B97),Mort_Age_Range,0),0)</f>
        <v>1</v>
      </c>
      <c r="D97" s="20">
        <f>IF(A97&lt;5,$B$8,IF(A97&lt;20,$B$9,$B$10))</f>
        <v>5.5E-2</v>
      </c>
      <c r="E97" s="3" t="b">
        <f>AND(A97&gt;=$B$15,A97&lt;$B$15+$B$12)</f>
        <v>0</v>
      </c>
      <c r="F97" s="12">
        <f ca="1">IF(A97=0,1,F96*(1-C96))</f>
        <v>0</v>
      </c>
      <c r="G97" s="12">
        <f t="shared" si="3"/>
        <v>1.8032898053513619E-2</v>
      </c>
      <c r="H97" s="12">
        <f ca="1">13/24+11/24/(1+D97)*(1-C97)</f>
        <v>0.54166666666666663</v>
      </c>
      <c r="I97" s="12">
        <f>(1+$B$14)^(A97-$B$15)</f>
        <v>1</v>
      </c>
      <c r="J97" s="3" t="b">
        <f>AND(A97&gt;=$B$15+$B$12,OR($B$13=0,A97&lt;$B$15+$B$13))</f>
        <v>1</v>
      </c>
      <c r="K97" s="12">
        <f>IF(E97,$B$16*I97*G97*IF(D97=0,1,(1-(1+D97)^-1)/(12*(1-(1+D97)^(-1/12)))),0)</f>
        <v>0</v>
      </c>
      <c r="L97" s="12">
        <f ca="1">IF(J97,I97*G97*F97*H97,0)</f>
        <v>0</v>
      </c>
      <c r="M97" s="12">
        <f ca="1">K97+L97</f>
        <v>0</v>
      </c>
    </row>
    <row r="98" spans="1:13">
      <c r="A98" s="10">
        <v>76</v>
      </c>
      <c r="B98" s="10">
        <f t="shared" si="2"/>
        <v>141</v>
      </c>
      <c r="C98" s="11">
        <f ca="1">OFFSET(Mort_Start,MATCH(MIN(120,B98),Mort_Age_Range,0),0)</f>
        <v>1</v>
      </c>
      <c r="D98" s="20">
        <f>IF(A98&lt;5,$B$8,IF(A98&lt;20,$B$9,$B$10))</f>
        <v>5.5E-2</v>
      </c>
      <c r="E98" s="3" t="b">
        <f>AND(A98&gt;=$B$15,A98&lt;$B$15+$B$12)</f>
        <v>0</v>
      </c>
      <c r="F98" s="12">
        <f ca="1">IF(A98=0,1,F97*(1-C97))</f>
        <v>0</v>
      </c>
      <c r="G98" s="12">
        <f t="shared" si="3"/>
        <v>1.7092794363520018E-2</v>
      </c>
      <c r="H98" s="12">
        <f ca="1">13/24+11/24/(1+D98)*(1-C98)</f>
        <v>0.54166666666666663</v>
      </c>
      <c r="I98" s="12">
        <f>(1+$B$14)^(A98-$B$15)</f>
        <v>1</v>
      </c>
      <c r="J98" s="3" t="b">
        <f>AND(A98&gt;=$B$15+$B$12,OR($B$13=0,A98&lt;$B$15+$B$13))</f>
        <v>1</v>
      </c>
      <c r="K98" s="12">
        <f>IF(E98,$B$16*I98*G98*IF(D98=0,1,(1-(1+D98)^-1)/(12*(1-(1+D98)^(-1/12)))),0)</f>
        <v>0</v>
      </c>
      <c r="L98" s="12">
        <f ca="1">IF(J98,I98*G98*F98*H98,0)</f>
        <v>0</v>
      </c>
      <c r="M98" s="12">
        <f ca="1">K98+L98</f>
        <v>0</v>
      </c>
    </row>
    <row r="99" spans="1:13">
      <c r="A99" s="10">
        <v>77</v>
      </c>
      <c r="B99" s="10">
        <f t="shared" si="2"/>
        <v>142</v>
      </c>
      <c r="C99" s="11">
        <f ca="1">OFFSET(Mort_Start,MATCH(MIN(120,B99),Mort_Age_Range,0),0)</f>
        <v>1</v>
      </c>
      <c r="D99" s="20">
        <f>IF(A99&lt;5,$B$8,IF(A99&lt;20,$B$9,$B$10))</f>
        <v>5.5E-2</v>
      </c>
      <c r="E99" s="3" t="b">
        <f>AND(A99&gt;=$B$15,A99&lt;$B$15+$B$12)</f>
        <v>0</v>
      </c>
      <c r="F99" s="12">
        <f ca="1">IF(A99=0,1,F98*(1-C98))</f>
        <v>0</v>
      </c>
      <c r="G99" s="12">
        <f t="shared" si="3"/>
        <v>1.6201700818502387E-2</v>
      </c>
      <c r="H99" s="12">
        <f ca="1">13/24+11/24/(1+D99)*(1-C99)</f>
        <v>0.54166666666666663</v>
      </c>
      <c r="I99" s="12">
        <f>(1+$B$14)^(A99-$B$15)</f>
        <v>1</v>
      </c>
      <c r="J99" s="3" t="b">
        <f>AND(A99&gt;=$B$15+$B$12,OR($B$13=0,A99&lt;$B$15+$B$13))</f>
        <v>1</v>
      </c>
      <c r="K99" s="12">
        <f>IF(E99,$B$16*I99*G99*IF(D99=0,1,(1-(1+D99)^-1)/(12*(1-(1+D99)^(-1/12)))),0)</f>
        <v>0</v>
      </c>
      <c r="L99" s="12">
        <f ca="1">IF(J99,I99*G99*F99*H99,0)</f>
        <v>0</v>
      </c>
      <c r="M99" s="12">
        <f ca="1">K99+L99</f>
        <v>0</v>
      </c>
    </row>
    <row r="100" spans="1:13">
      <c r="A100" s="10">
        <v>78</v>
      </c>
      <c r="B100" s="10">
        <f t="shared" si="2"/>
        <v>143</v>
      </c>
      <c r="C100" s="11">
        <f ca="1">OFFSET(Mort_Start,MATCH(MIN(120,B100),Mort_Age_Range,0),0)</f>
        <v>1</v>
      </c>
      <c r="D100" s="20">
        <f>IF(A100&lt;5,$B$8,IF(A100&lt;20,$B$9,$B$10))</f>
        <v>5.5E-2</v>
      </c>
      <c r="E100" s="3" t="b">
        <f>AND(A100&gt;=$B$15,A100&lt;$B$15+$B$12)</f>
        <v>0</v>
      </c>
      <c r="F100" s="12">
        <f ca="1">IF(A100=0,1,F99*(1-C99))</f>
        <v>0</v>
      </c>
      <c r="G100" s="12">
        <f t="shared" si="3"/>
        <v>1.5357062387206055E-2</v>
      </c>
      <c r="H100" s="12">
        <f ca="1">13/24+11/24/(1+D100)*(1-C100)</f>
        <v>0.54166666666666663</v>
      </c>
      <c r="I100" s="12">
        <f>(1+$B$14)^(A100-$B$15)</f>
        <v>1</v>
      </c>
      <c r="J100" s="3" t="b">
        <f>AND(A100&gt;=$B$15+$B$12,OR($B$13=0,A100&lt;$B$15+$B$13))</f>
        <v>1</v>
      </c>
      <c r="K100" s="12">
        <f>IF(E100,$B$16*I100*G100*IF(D100=0,1,(1-(1+D100)^-1)/(12*(1-(1+D100)^(-1/12)))),0)</f>
        <v>0</v>
      </c>
      <c r="L100" s="12">
        <f ca="1">IF(J100,I100*G100*F100*H100,0)</f>
        <v>0</v>
      </c>
      <c r="M100" s="12">
        <f ca="1">K100+L100</f>
        <v>0</v>
      </c>
    </row>
    <row r="101" spans="1:13">
      <c r="A101" s="10">
        <v>79</v>
      </c>
      <c r="B101" s="10">
        <f t="shared" si="2"/>
        <v>144</v>
      </c>
      <c r="C101" s="11">
        <f ca="1">OFFSET(Mort_Start,MATCH(MIN(120,B101),Mort_Age_Range,0),0)</f>
        <v>1</v>
      </c>
      <c r="D101" s="20">
        <f>IF(A101&lt;5,$B$8,IF(A101&lt;20,$B$9,$B$10))</f>
        <v>5.5E-2</v>
      </c>
      <c r="E101" s="3" t="b">
        <f>AND(A101&gt;=$B$15,A101&lt;$B$15+$B$12)</f>
        <v>0</v>
      </c>
      <c r="F101" s="12">
        <f ca="1">IF(A101=0,1,F100*(1-C100))</f>
        <v>0</v>
      </c>
      <c r="G101" s="12">
        <f t="shared" si="3"/>
        <v>1.4556457239057873E-2</v>
      </c>
      <c r="H101" s="12">
        <f ca="1">13/24+11/24/(1+D101)*(1-C101)</f>
        <v>0.54166666666666663</v>
      </c>
      <c r="I101" s="12">
        <f>(1+$B$14)^(A101-$B$15)</f>
        <v>1</v>
      </c>
      <c r="J101" s="3" t="b">
        <f>AND(A101&gt;=$B$15+$B$12,OR($B$13=0,A101&lt;$B$15+$B$13))</f>
        <v>1</v>
      </c>
      <c r="K101" s="12">
        <f>IF(E101,$B$16*I101*G101*IF(D101=0,1,(1-(1+D101)^-1)/(12*(1-(1+D101)^(-1/12)))),0)</f>
        <v>0</v>
      </c>
      <c r="L101" s="12">
        <f ca="1">IF(J101,I101*G101*F101*H101,0)</f>
        <v>0</v>
      </c>
      <c r="M101" s="12">
        <f ca="1">K101+L101</f>
        <v>0</v>
      </c>
    </row>
    <row r="102" spans="1:13">
      <c r="A102" s="10">
        <v>80</v>
      </c>
      <c r="B102" s="10">
        <f t="shared" si="2"/>
        <v>145</v>
      </c>
      <c r="C102" s="11">
        <f ca="1">OFFSET(Mort_Start,MATCH(MIN(120,B102),Mort_Age_Range,0),0)</f>
        <v>1</v>
      </c>
      <c r="D102" s="20">
        <f>IF(A102&lt;5,$B$8,IF(A102&lt;20,$B$9,$B$10))</f>
        <v>5.5E-2</v>
      </c>
      <c r="E102" s="3" t="b">
        <f>AND(A102&gt;=$B$15,A102&lt;$B$15+$B$12)</f>
        <v>0</v>
      </c>
      <c r="F102" s="12">
        <f ca="1">IF(A102=0,1,F101*(1-C101))</f>
        <v>0</v>
      </c>
      <c r="G102" s="12">
        <f t="shared" si="3"/>
        <v>1.3797589800054856E-2</v>
      </c>
      <c r="H102" s="12">
        <f ca="1">13/24+11/24/(1+D102)*(1-C102)</f>
        <v>0.54166666666666663</v>
      </c>
      <c r="I102" s="12">
        <f>(1+$B$14)^(A102-$B$15)</f>
        <v>1</v>
      </c>
      <c r="J102" s="3" t="b">
        <f>AND(A102&gt;=$B$15+$B$12,OR($B$13=0,A102&lt;$B$15+$B$13))</f>
        <v>1</v>
      </c>
      <c r="K102" s="12">
        <f>IF(E102,$B$16*I102*G102*IF(D102=0,1,(1-(1+D102)^-1)/(12*(1-(1+D102)^(-1/12)))),0)</f>
        <v>0</v>
      </c>
      <c r="L102" s="12">
        <f ca="1">IF(J102,I102*G102*F102*H102,0)</f>
        <v>0</v>
      </c>
      <c r="M102" s="12">
        <f ca="1">K102+L102</f>
        <v>0</v>
      </c>
    </row>
    <row r="103" spans="1:13">
      <c r="A103" s="10">
        <v>81</v>
      </c>
      <c r="B103" s="10">
        <f t="shared" si="2"/>
        <v>146</v>
      </c>
      <c r="C103" s="11">
        <f ca="1">OFFSET(Mort_Start,MATCH(MIN(120,B103),Mort_Age_Range,0),0)</f>
        <v>1</v>
      </c>
      <c r="D103" s="20">
        <f>IF(A103&lt;5,$B$8,IF(A103&lt;20,$B$9,$B$10))</f>
        <v>5.5E-2</v>
      </c>
      <c r="E103" s="3" t="b">
        <f>AND(A103&gt;=$B$15,A103&lt;$B$15+$B$12)</f>
        <v>0</v>
      </c>
      <c r="F103" s="12">
        <f ca="1">IF(A103=0,1,F102*(1-C102))</f>
        <v>0</v>
      </c>
      <c r="G103" s="12">
        <f t="shared" si="3"/>
        <v>1.3078284170668111E-2</v>
      </c>
      <c r="H103" s="12">
        <f ca="1">13/24+11/24/(1+D103)*(1-C103)</f>
        <v>0.54166666666666663</v>
      </c>
      <c r="I103" s="12">
        <f>(1+$B$14)^(A103-$B$15)</f>
        <v>1</v>
      </c>
      <c r="J103" s="3" t="b">
        <f>AND(A103&gt;=$B$15+$B$12,OR($B$13=0,A103&lt;$B$15+$B$13))</f>
        <v>1</v>
      </c>
      <c r="K103" s="12">
        <f>IF(E103,$B$16*I103*G103*IF(D103=0,1,(1-(1+D103)^-1)/(12*(1-(1+D103)^(-1/12)))),0)</f>
        <v>0</v>
      </c>
      <c r="L103" s="12">
        <f ca="1">IF(J103,I103*G103*F103*H103,0)</f>
        <v>0</v>
      </c>
      <c r="M103" s="12">
        <f ca="1">K103+L103</f>
        <v>0</v>
      </c>
    </row>
    <row r="104" spans="1:13">
      <c r="A104" s="10">
        <v>82</v>
      </c>
      <c r="B104" s="10">
        <f t="shared" si="2"/>
        <v>147</v>
      </c>
      <c r="C104" s="11">
        <f ca="1">OFFSET(Mort_Start,MATCH(MIN(120,B104),Mort_Age_Range,0),0)</f>
        <v>1</v>
      </c>
      <c r="D104" s="20">
        <f>IF(A104&lt;5,$B$8,IF(A104&lt;20,$B$9,$B$10))</f>
        <v>5.5E-2</v>
      </c>
      <c r="E104" s="3" t="b">
        <f>AND(A104&gt;=$B$15,A104&lt;$B$15+$B$12)</f>
        <v>0</v>
      </c>
      <c r="F104" s="12">
        <f ca="1">IF(A104=0,1,F103*(1-C103))</f>
        <v>0</v>
      </c>
      <c r="G104" s="12">
        <f t="shared" si="3"/>
        <v>1.2396477886889206E-2</v>
      </c>
      <c r="H104" s="12">
        <f ca="1">13/24+11/24/(1+D104)*(1-C104)</f>
        <v>0.54166666666666663</v>
      </c>
      <c r="I104" s="12">
        <f>(1+$B$14)^(A104-$B$15)</f>
        <v>1</v>
      </c>
      <c r="J104" s="3" t="b">
        <f>AND(A104&gt;=$B$15+$B$12,OR($B$13=0,A104&lt;$B$15+$B$13))</f>
        <v>1</v>
      </c>
      <c r="K104" s="12">
        <f>IF(E104,$B$16*I104*G104*IF(D104=0,1,(1-(1+D104)^-1)/(12*(1-(1+D104)^(-1/12)))),0)</f>
        <v>0</v>
      </c>
      <c r="L104" s="12">
        <f ca="1">IF(J104,I104*G104*F104*H104,0)</f>
        <v>0</v>
      </c>
      <c r="M104" s="12">
        <f ca="1">K104+L104</f>
        <v>0</v>
      </c>
    </row>
    <row r="105" spans="1:13">
      <c r="A105" s="10">
        <v>83</v>
      </c>
      <c r="B105" s="10">
        <f t="shared" si="2"/>
        <v>148</v>
      </c>
      <c r="C105" s="11">
        <f ca="1">OFFSET(Mort_Start,MATCH(MIN(120,B105),Mort_Age_Range,0),0)</f>
        <v>1</v>
      </c>
      <c r="D105" s="20">
        <f>IF(A105&lt;5,$B$8,IF(A105&lt;20,$B$9,$B$10))</f>
        <v>5.5E-2</v>
      </c>
      <c r="E105" s="3" t="b">
        <f>AND(A105&gt;=$B$15,A105&lt;$B$15+$B$12)</f>
        <v>0</v>
      </c>
      <c r="F105" s="12">
        <f ca="1">IF(A105=0,1,F104*(1-C104))</f>
        <v>0</v>
      </c>
      <c r="G105" s="12">
        <f t="shared" si="3"/>
        <v>1.1750216006530053E-2</v>
      </c>
      <c r="H105" s="12">
        <f ca="1">13/24+11/24/(1+D105)*(1-C105)</f>
        <v>0.54166666666666663</v>
      </c>
      <c r="I105" s="12">
        <f>(1+$B$14)^(A105-$B$15)</f>
        <v>1</v>
      </c>
      <c r="J105" s="3" t="b">
        <f>AND(A105&gt;=$B$15+$B$12,OR($B$13=0,A105&lt;$B$15+$B$13))</f>
        <v>1</v>
      </c>
      <c r="K105" s="12">
        <f>IF(E105,$B$16*I105*G105*IF(D105=0,1,(1-(1+D105)^-1)/(12*(1-(1+D105)^(-1/12)))),0)</f>
        <v>0</v>
      </c>
      <c r="L105" s="12">
        <f ca="1">IF(J105,I105*G105*F105*H105,0)</f>
        <v>0</v>
      </c>
      <c r="M105" s="12">
        <f ca="1">K105+L105</f>
        <v>0</v>
      </c>
    </row>
    <row r="106" spans="1:13">
      <c r="A106" s="10">
        <v>84</v>
      </c>
      <c r="B106" s="10">
        <f t="shared" si="2"/>
        <v>149</v>
      </c>
      <c r="C106" s="11">
        <f ca="1">OFFSET(Mort_Start,MATCH(MIN(120,B106),Mort_Age_Range,0),0)</f>
        <v>1</v>
      </c>
      <c r="D106" s="20">
        <f>IF(A106&lt;5,$B$8,IF(A106&lt;20,$B$9,$B$10))</f>
        <v>5.5E-2</v>
      </c>
      <c r="E106" s="3" t="b">
        <f>AND(A106&gt;=$B$15,A106&lt;$B$15+$B$12)</f>
        <v>0</v>
      </c>
      <c r="F106" s="12">
        <f ca="1">IF(A106=0,1,F105*(1-C105))</f>
        <v>0</v>
      </c>
      <c r="G106" s="12">
        <f t="shared" si="3"/>
        <v>1.1137645503819954E-2</v>
      </c>
      <c r="H106" s="12">
        <f ca="1">13/24+11/24/(1+D106)*(1-C106)</f>
        <v>0.54166666666666663</v>
      </c>
      <c r="I106" s="12">
        <f>(1+$B$14)^(A106-$B$15)</f>
        <v>1</v>
      </c>
      <c r="J106" s="3" t="b">
        <f>AND(A106&gt;=$B$15+$B$12,OR($B$13=0,A106&lt;$B$15+$B$13))</f>
        <v>1</v>
      </c>
      <c r="K106" s="12">
        <f>IF(E106,$B$16*I106*G106*IF(D106=0,1,(1-(1+D106)^-1)/(12*(1-(1+D106)^(-1/12)))),0)</f>
        <v>0</v>
      </c>
      <c r="L106" s="12">
        <f ca="1">IF(J106,I106*G106*F106*H106,0)</f>
        <v>0</v>
      </c>
      <c r="M106" s="12">
        <f ca="1">K106+L106</f>
        <v>0</v>
      </c>
    </row>
    <row r="107" spans="1:13">
      <c r="A107" s="10">
        <v>85</v>
      </c>
      <c r="B107" s="10">
        <f t="shared" si="2"/>
        <v>150</v>
      </c>
      <c r="C107" s="11">
        <f ca="1">OFFSET(Mort_Start,MATCH(MIN(120,B107),Mort_Age_Range,0),0)</f>
        <v>1</v>
      </c>
      <c r="D107" s="20">
        <f>IF(A107&lt;5,$B$8,IF(A107&lt;20,$B$9,$B$10))</f>
        <v>5.5E-2</v>
      </c>
      <c r="E107" s="3" t="b">
        <f>AND(A107&gt;=$B$15,A107&lt;$B$15+$B$12)</f>
        <v>0</v>
      </c>
      <c r="F107" s="12">
        <f ca="1">IF(A107=0,1,F106*(1-C106))</f>
        <v>0</v>
      </c>
      <c r="G107" s="12">
        <f t="shared" si="3"/>
        <v>1.0557009956227445E-2</v>
      </c>
      <c r="H107" s="12">
        <f ca="1">13/24+11/24/(1+D107)*(1-C107)</f>
        <v>0.54166666666666663</v>
      </c>
      <c r="I107" s="12">
        <f>(1+$B$14)^(A107-$B$15)</f>
        <v>1</v>
      </c>
      <c r="J107" s="3" t="b">
        <f>AND(A107&gt;=$B$15+$B$12,OR($B$13=0,A107&lt;$B$15+$B$13))</f>
        <v>1</v>
      </c>
      <c r="K107" s="12">
        <f>IF(E107,$B$16*I107*G107*IF(D107=0,1,(1-(1+D107)^-1)/(12*(1-(1+D107)^(-1/12)))),0)</f>
        <v>0</v>
      </c>
      <c r="L107" s="12">
        <f ca="1">IF(J107,I107*G107*F107*H107,0)</f>
        <v>0</v>
      </c>
      <c r="M107" s="12">
        <f ca="1">K107+L107</f>
        <v>0</v>
      </c>
    </row>
    <row r="108" spans="1:13">
      <c r="A108" s="10">
        <v>86</v>
      </c>
      <c r="B108" s="10">
        <f t="shared" si="2"/>
        <v>151</v>
      </c>
      <c r="C108" s="11">
        <f ca="1">OFFSET(Mort_Start,MATCH(MIN(120,B108),Mort_Age_Range,0),0)</f>
        <v>1</v>
      </c>
      <c r="D108" s="20">
        <f>IF(A108&lt;5,$B$8,IF(A108&lt;20,$B$9,$B$10))</f>
        <v>5.5E-2</v>
      </c>
      <c r="E108" s="3" t="b">
        <f>AND(A108&gt;=$B$15,A108&lt;$B$15+$B$12)</f>
        <v>0</v>
      </c>
      <c r="F108" s="12">
        <f ca="1">IF(A108=0,1,F107*(1-C107))</f>
        <v>0</v>
      </c>
      <c r="G108" s="12">
        <f t="shared" si="3"/>
        <v>1.0006644508272461E-2</v>
      </c>
      <c r="H108" s="12">
        <f ca="1">13/24+11/24/(1+D108)*(1-C108)</f>
        <v>0.54166666666666663</v>
      </c>
      <c r="I108" s="12">
        <f>(1+$B$14)^(A108-$B$15)</f>
        <v>1</v>
      </c>
      <c r="J108" s="3" t="b">
        <f>AND(A108&gt;=$B$15+$B$12,OR($B$13=0,A108&lt;$B$15+$B$13))</f>
        <v>1</v>
      </c>
      <c r="K108" s="12">
        <f>IF(E108,$B$16*I108*G108*IF(D108=0,1,(1-(1+D108)^-1)/(12*(1-(1+D108)^(-1/12)))),0)</f>
        <v>0</v>
      </c>
      <c r="L108" s="12">
        <f ca="1">IF(J108,I108*G108*F108*H108,0)</f>
        <v>0</v>
      </c>
      <c r="M108" s="12">
        <f ca="1">K108+L108</f>
        <v>0</v>
      </c>
    </row>
    <row r="109" spans="1:13">
      <c r="A109" s="10">
        <v>87</v>
      </c>
      <c r="B109" s="10">
        <f t="shared" si="2"/>
        <v>152</v>
      </c>
      <c r="C109" s="11">
        <f ca="1">OFFSET(Mort_Start,MATCH(MIN(120,B109),Mort_Age_Range,0),0)</f>
        <v>1</v>
      </c>
      <c r="D109" s="20">
        <f>IF(A109&lt;5,$B$8,IF(A109&lt;20,$B$9,$B$10))</f>
        <v>5.5E-2</v>
      </c>
      <c r="E109" s="3" t="b">
        <f>AND(A109&gt;=$B$15,A109&lt;$B$15+$B$12)</f>
        <v>0</v>
      </c>
      <c r="F109" s="12">
        <f ca="1">IF(A109=0,1,F108*(1-C108))</f>
        <v>0</v>
      </c>
      <c r="G109" s="12">
        <f t="shared" si="3"/>
        <v>9.4849710978885896E-3</v>
      </c>
      <c r="H109" s="12">
        <f ca="1">13/24+11/24/(1+D109)*(1-C109)</f>
        <v>0.54166666666666663</v>
      </c>
      <c r="I109" s="12">
        <f>(1+$B$14)^(A109-$B$15)</f>
        <v>1</v>
      </c>
      <c r="J109" s="3" t="b">
        <f>AND(A109&gt;=$B$15+$B$12,OR($B$13=0,A109&lt;$B$15+$B$13))</f>
        <v>1</v>
      </c>
      <c r="K109" s="12">
        <f>IF(E109,$B$16*I109*G109*IF(D109=0,1,(1-(1+D109)^-1)/(12*(1-(1+D109)^(-1/12)))),0)</f>
        <v>0</v>
      </c>
      <c r="L109" s="12">
        <f ca="1">IF(J109,I109*G109*F109*H109,0)</f>
        <v>0</v>
      </c>
      <c r="M109" s="12">
        <f ca="1">K109+L109</f>
        <v>0</v>
      </c>
    </row>
    <row r="110" spans="1:13">
      <c r="A110" s="10">
        <v>88</v>
      </c>
      <c r="B110" s="10">
        <f t="shared" si="2"/>
        <v>153</v>
      </c>
      <c r="C110" s="11">
        <f ca="1">OFFSET(Mort_Start,MATCH(MIN(120,B110),Mort_Age_Range,0),0)</f>
        <v>1</v>
      </c>
      <c r="D110" s="20">
        <f>IF(A110&lt;5,$B$8,IF(A110&lt;20,$B$9,$B$10))</f>
        <v>5.5E-2</v>
      </c>
      <c r="E110" s="3" t="b">
        <f>AND(A110&gt;=$B$15,A110&lt;$B$15+$B$12)</f>
        <v>0</v>
      </c>
      <c r="F110" s="12">
        <f ca="1">IF(A110=0,1,F109*(1-C109))</f>
        <v>0</v>
      </c>
      <c r="G110" s="12">
        <f t="shared" si="3"/>
        <v>8.9904939316479519E-3</v>
      </c>
      <c r="H110" s="12">
        <f ca="1">13/24+11/24/(1+D110)*(1-C110)</f>
        <v>0.54166666666666663</v>
      </c>
      <c r="I110" s="12">
        <f>(1+$B$14)^(A110-$B$15)</f>
        <v>1</v>
      </c>
      <c r="J110" s="3" t="b">
        <f>AND(A110&gt;=$B$15+$B$12,OR($B$13=0,A110&lt;$B$15+$B$13))</f>
        <v>1</v>
      </c>
      <c r="K110" s="12">
        <f>IF(E110,$B$16*I110*G110*IF(D110=0,1,(1-(1+D110)^-1)/(12*(1-(1+D110)^(-1/12)))),0)</f>
        <v>0</v>
      </c>
      <c r="L110" s="12">
        <f ca="1">IF(J110,I110*G110*F110*H110,0)</f>
        <v>0</v>
      </c>
      <c r="M110" s="12">
        <f ca="1">K110+L110</f>
        <v>0</v>
      </c>
    </row>
    <row r="111" spans="1:13">
      <c r="A111" s="10">
        <v>89</v>
      </c>
      <c r="B111" s="10">
        <f t="shared" si="2"/>
        <v>154</v>
      </c>
      <c r="C111" s="11">
        <f ca="1">OFFSET(Mort_Start,MATCH(MIN(120,B111),Mort_Age_Range,0),0)</f>
        <v>1</v>
      </c>
      <c r="D111" s="20">
        <f>IF(A111&lt;5,$B$8,IF(A111&lt;20,$B$9,$B$10))</f>
        <v>5.5E-2</v>
      </c>
      <c r="E111" s="3" t="b">
        <f>AND(A111&gt;=$B$15,A111&lt;$B$15+$B$12)</f>
        <v>0</v>
      </c>
      <c r="F111" s="12">
        <f ca="1">IF(A111=0,1,F110*(1-C110))</f>
        <v>0</v>
      </c>
      <c r="G111" s="12">
        <f t="shared" si="3"/>
        <v>8.5217951958748359E-3</v>
      </c>
      <c r="H111" s="12">
        <f ca="1">13/24+11/24/(1+D111)*(1-C111)</f>
        <v>0.54166666666666663</v>
      </c>
      <c r="I111" s="12">
        <f>(1+$B$14)^(A111-$B$15)</f>
        <v>1</v>
      </c>
      <c r="J111" s="3" t="b">
        <f>AND(A111&gt;=$B$15+$B$12,OR($B$13=0,A111&lt;$B$15+$B$13))</f>
        <v>1</v>
      </c>
      <c r="K111" s="12">
        <f>IF(E111,$B$16*I111*G111*IF(D111=0,1,(1-(1+D111)^-1)/(12*(1-(1+D111)^(-1/12)))),0)</f>
        <v>0</v>
      </c>
      <c r="L111" s="12">
        <f ca="1">IF(J111,I111*G111*F111*H111,0)</f>
        <v>0</v>
      </c>
      <c r="M111" s="12">
        <f ca="1">K111+L111</f>
        <v>0</v>
      </c>
    </row>
    <row r="112" spans="1:13">
      <c r="A112" s="10">
        <v>90</v>
      </c>
      <c r="B112" s="10">
        <f t="shared" si="2"/>
        <v>155</v>
      </c>
      <c r="C112" s="11">
        <f ca="1">OFFSET(Mort_Start,MATCH(MIN(120,B112),Mort_Age_Range,0),0)</f>
        <v>1</v>
      </c>
      <c r="D112" s="20">
        <f>IF(A112&lt;5,$B$8,IF(A112&lt;20,$B$9,$B$10))</f>
        <v>5.5E-2</v>
      </c>
      <c r="E112" s="3" t="b">
        <f>AND(A112&gt;=$B$15,A112&lt;$B$15+$B$12)</f>
        <v>0</v>
      </c>
      <c r="F112" s="12">
        <f ca="1">IF(A112=0,1,F111*(1-C111))</f>
        <v>0</v>
      </c>
      <c r="G112" s="12">
        <f t="shared" si="3"/>
        <v>8.0775309913505549E-3</v>
      </c>
      <c r="H112" s="12">
        <f ca="1">13/24+11/24/(1+D112)*(1-C112)</f>
        <v>0.54166666666666663</v>
      </c>
      <c r="I112" s="12">
        <f>(1+$B$14)^(A112-$B$15)</f>
        <v>1</v>
      </c>
      <c r="J112" s="3" t="b">
        <f>AND(A112&gt;=$B$15+$B$12,OR($B$13=0,A112&lt;$B$15+$B$13))</f>
        <v>1</v>
      </c>
      <c r="K112" s="12">
        <f>IF(E112,$B$16*I112*G112*IF(D112=0,1,(1-(1+D112)^-1)/(12*(1-(1+D112)^(-1/12)))),0)</f>
        <v>0</v>
      </c>
      <c r="L112" s="12">
        <f ca="1">IF(J112,I112*G112*F112*H112,0)</f>
        <v>0</v>
      </c>
      <c r="M112" s="12">
        <f ca="1">K112+L112</f>
        <v>0</v>
      </c>
    </row>
    <row r="113" spans="1:13">
      <c r="A113" s="10">
        <v>91</v>
      </c>
      <c r="B113" s="10">
        <f t="shared" si="2"/>
        <v>156</v>
      </c>
      <c r="C113" s="11">
        <f ca="1">OFFSET(Mort_Start,MATCH(MIN(120,B113),Mort_Age_Range,0),0)</f>
        <v>1</v>
      </c>
      <c r="D113" s="20">
        <f>IF(A113&lt;5,$B$8,IF(A113&lt;20,$B$9,$B$10))</f>
        <v>5.5E-2</v>
      </c>
      <c r="E113" s="3" t="b">
        <f>AND(A113&gt;=$B$15,A113&lt;$B$15+$B$12)</f>
        <v>0</v>
      </c>
      <c r="F113" s="12">
        <f ca="1">IF(A113=0,1,F112*(1-C112))</f>
        <v>0</v>
      </c>
      <c r="G113" s="12">
        <f t="shared" si="3"/>
        <v>7.656427479953134E-3</v>
      </c>
      <c r="H113" s="12">
        <f ca="1">13/24+11/24/(1+D113)*(1-C113)</f>
        <v>0.54166666666666663</v>
      </c>
      <c r="I113" s="12">
        <f>(1+$B$14)^(A113-$B$15)</f>
        <v>1</v>
      </c>
      <c r="J113" s="3" t="b">
        <f>AND(A113&gt;=$B$15+$B$12,OR($B$13=0,A113&lt;$B$15+$B$13))</f>
        <v>1</v>
      </c>
      <c r="K113" s="12">
        <f>IF(E113,$B$16*I113*G113*IF(D113=0,1,(1-(1+D113)^-1)/(12*(1-(1+D113)^(-1/12)))),0)</f>
        <v>0</v>
      </c>
      <c r="L113" s="12">
        <f ca="1">IF(J113,I113*G113*F113*H113,0)</f>
        <v>0</v>
      </c>
      <c r="M113" s="12">
        <f ca="1">K113+L113</f>
        <v>0</v>
      </c>
    </row>
    <row r="114" spans="1:13">
      <c r="A114" s="10">
        <v>92</v>
      </c>
      <c r="B114" s="10">
        <f t="shared" si="2"/>
        <v>157</v>
      </c>
      <c r="C114" s="11">
        <f ca="1">OFFSET(Mort_Start,MATCH(MIN(120,B114),Mort_Age_Range,0),0)</f>
        <v>1</v>
      </c>
      <c r="D114" s="20">
        <f>IF(A114&lt;5,$B$8,IF(A114&lt;20,$B$9,$B$10))</f>
        <v>5.5E-2</v>
      </c>
      <c r="E114" s="3" t="b">
        <f>AND(A114&gt;=$B$15,A114&lt;$B$15+$B$12)</f>
        <v>0</v>
      </c>
      <c r="F114" s="12">
        <f ca="1">IF(A114=0,1,F113*(1-C113))</f>
        <v>0</v>
      </c>
      <c r="G114" s="12">
        <f t="shared" si="3"/>
        <v>7.2572772321830657E-3</v>
      </c>
      <c r="H114" s="12">
        <f ca="1">13/24+11/24/(1+D114)*(1-C114)</f>
        <v>0.54166666666666663</v>
      </c>
      <c r="I114" s="12">
        <f>(1+$B$14)^(A114-$B$15)</f>
        <v>1</v>
      </c>
      <c r="J114" s="3" t="b">
        <f>AND(A114&gt;=$B$15+$B$12,OR($B$13=0,A114&lt;$B$15+$B$13))</f>
        <v>1</v>
      </c>
      <c r="K114" s="12">
        <f>IF(E114,$B$16*I114*G114*IF(D114=0,1,(1-(1+D114)^-1)/(12*(1-(1+D114)^(-1/12)))),0)</f>
        <v>0</v>
      </c>
      <c r="L114" s="12">
        <f ca="1">IF(J114,I114*G114*F114*H114,0)</f>
        <v>0</v>
      </c>
      <c r="M114" s="12">
        <f ca="1">K114+L114</f>
        <v>0</v>
      </c>
    </row>
    <row r="115" spans="1:13">
      <c r="A115" s="10">
        <v>93</v>
      </c>
      <c r="B115" s="10">
        <f t="shared" si="2"/>
        <v>158</v>
      </c>
      <c r="C115" s="11">
        <f ca="1">OFFSET(Mort_Start,MATCH(MIN(120,B115),Mort_Age_Range,0),0)</f>
        <v>1</v>
      </c>
      <c r="D115" s="20">
        <f>IF(A115&lt;5,$B$8,IF(A115&lt;20,$B$9,$B$10))</f>
        <v>5.5E-2</v>
      </c>
      <c r="E115" s="3" t="b">
        <f>AND(A115&gt;=$B$15,A115&lt;$B$15+$B$12)</f>
        <v>0</v>
      </c>
      <c r="F115" s="12">
        <f ca="1">IF(A115=0,1,F114*(1-C114))</f>
        <v>0</v>
      </c>
      <c r="G115" s="12">
        <f t="shared" si="3"/>
        <v>6.8789357651024329E-3</v>
      </c>
      <c r="H115" s="12">
        <f ca="1">13/24+11/24/(1+D115)*(1-C115)</f>
        <v>0.54166666666666663</v>
      </c>
      <c r="I115" s="12">
        <f>(1+$B$14)^(A115-$B$15)</f>
        <v>1</v>
      </c>
      <c r="J115" s="3" t="b">
        <f>AND(A115&gt;=$B$15+$B$12,OR($B$13=0,A115&lt;$B$15+$B$13))</f>
        <v>1</v>
      </c>
      <c r="K115" s="12">
        <f>IF(E115,$B$16*I115*G115*IF(D115=0,1,(1-(1+D115)^-1)/(12*(1-(1+D115)^(-1/12)))),0)</f>
        <v>0</v>
      </c>
      <c r="L115" s="12">
        <f ca="1">IF(J115,I115*G115*F115*H115,0)</f>
        <v>0</v>
      </c>
      <c r="M115" s="12">
        <f ca="1">K115+L115</f>
        <v>0</v>
      </c>
    </row>
    <row r="116" spans="1:13">
      <c r="A116" s="10">
        <v>94</v>
      </c>
      <c r="B116" s="10">
        <f t="shared" si="2"/>
        <v>159</v>
      </c>
      <c r="C116" s="11">
        <f ca="1">OFFSET(Mort_Start,MATCH(MIN(120,B116),Mort_Age_Range,0),0)</f>
        <v>1</v>
      </c>
      <c r="D116" s="20">
        <f>IF(A116&lt;5,$B$8,IF(A116&lt;20,$B$9,$B$10))</f>
        <v>5.5E-2</v>
      </c>
      <c r="E116" s="3" t="b">
        <f>AND(A116&gt;=$B$15,A116&lt;$B$15+$B$12)</f>
        <v>0</v>
      </c>
      <c r="F116" s="12">
        <f ca="1">IF(A116=0,1,F115*(1-C115))</f>
        <v>0</v>
      </c>
      <c r="G116" s="12">
        <f t="shared" si="3"/>
        <v>6.5203182607605995E-3</v>
      </c>
      <c r="H116" s="12">
        <f ca="1">13/24+11/24/(1+D116)*(1-C116)</f>
        <v>0.54166666666666663</v>
      </c>
      <c r="I116" s="12">
        <f>(1+$B$14)^(A116-$B$15)</f>
        <v>1</v>
      </c>
      <c r="J116" s="3" t="b">
        <f>AND(A116&gt;=$B$15+$B$12,OR($B$13=0,A116&lt;$B$15+$B$13))</f>
        <v>1</v>
      </c>
      <c r="K116" s="12">
        <f>IF(E116,$B$16*I116*G116*IF(D116=0,1,(1-(1+D116)^-1)/(12*(1-(1+D116)^(-1/12)))),0)</f>
        <v>0</v>
      </c>
      <c r="L116" s="12">
        <f ca="1">IF(J116,I116*G116*F116*H116,0)</f>
        <v>0</v>
      </c>
      <c r="M116" s="12">
        <f ca="1">K116+L116</f>
        <v>0</v>
      </c>
    </row>
    <row r="117" spans="1:13">
      <c r="A117" s="10">
        <v>95</v>
      </c>
      <c r="B117" s="10">
        <f t="shared" si="2"/>
        <v>160</v>
      </c>
      <c r="C117" s="11">
        <f ca="1">OFFSET(Mort_Start,MATCH(MIN(120,B117),Mort_Age_Range,0),0)</f>
        <v>1</v>
      </c>
      <c r="D117" s="20">
        <f>IF(A117&lt;5,$B$8,IF(A117&lt;20,$B$9,$B$10))</f>
        <v>5.5E-2</v>
      </c>
      <c r="E117" s="3" t="b">
        <f>AND(A117&gt;=$B$15,A117&lt;$B$15+$B$12)</f>
        <v>0</v>
      </c>
      <c r="F117" s="12">
        <f ca="1">IF(A117=0,1,F116*(1-C116))</f>
        <v>0</v>
      </c>
      <c r="G117" s="12">
        <f t="shared" si="3"/>
        <v>6.1803964556972511E-3</v>
      </c>
      <c r="H117" s="12">
        <f ca="1">13/24+11/24/(1+D117)*(1-C117)</f>
        <v>0.54166666666666663</v>
      </c>
      <c r="I117" s="12">
        <f>(1+$B$14)^(A117-$B$15)</f>
        <v>1</v>
      </c>
      <c r="J117" s="3" t="b">
        <f>AND(A117&gt;=$B$15+$B$12,OR($B$13=0,A117&lt;$B$15+$B$13))</f>
        <v>1</v>
      </c>
      <c r="K117" s="12">
        <f>IF(E117,$B$16*I117*G117*IF(D117=0,1,(1-(1+D117)^-1)/(12*(1-(1+D117)^(-1/12)))),0)</f>
        <v>0</v>
      </c>
      <c r="L117" s="12">
        <f ca="1">IF(J117,I117*G117*F117*H117,0)</f>
        <v>0</v>
      </c>
      <c r="M117" s="12">
        <f ca="1">K117+L117</f>
        <v>0</v>
      </c>
    </row>
    <row r="118" spans="1:13">
      <c r="A118" s="10">
        <v>96</v>
      </c>
      <c r="B118" s="10">
        <f t="shared" si="2"/>
        <v>161</v>
      </c>
      <c r="C118" s="11">
        <f ca="1">OFFSET(Mort_Start,MATCH(MIN(120,B118),Mort_Age_Range,0),0)</f>
        <v>1</v>
      </c>
      <c r="D118" s="20">
        <f>IF(A118&lt;5,$B$8,IF(A118&lt;20,$B$9,$B$10))</f>
        <v>5.5E-2</v>
      </c>
      <c r="E118" s="3" t="b">
        <f>AND(A118&gt;=$B$15,A118&lt;$B$15+$B$12)</f>
        <v>0</v>
      </c>
      <c r="F118" s="12">
        <f ca="1">IF(A118=0,1,F117*(1-C117))</f>
        <v>0</v>
      </c>
      <c r="G118" s="12">
        <f t="shared" si="3"/>
        <v>5.8581956926040298E-3</v>
      </c>
      <c r="H118" s="12">
        <f ca="1">13/24+11/24/(1+D118)*(1-C118)</f>
        <v>0.54166666666666663</v>
      </c>
      <c r="I118" s="12">
        <f>(1+$B$14)^(A118-$B$15)</f>
        <v>1</v>
      </c>
      <c r="J118" s="3" t="b">
        <f>AND(A118&gt;=$B$15+$B$12,OR($B$13=0,A118&lt;$B$15+$B$13))</f>
        <v>1</v>
      </c>
      <c r="K118" s="12">
        <f>IF(E118,$B$16*I118*G118*IF(D118=0,1,(1-(1+D118)^-1)/(12*(1-(1+D118)^(-1/12)))),0)</f>
        <v>0</v>
      </c>
      <c r="L118" s="12">
        <f ca="1">IF(J118,I118*G118*F118*H118,0)</f>
        <v>0</v>
      </c>
      <c r="M118" s="12">
        <f ca="1">K118+L118</f>
        <v>0</v>
      </c>
    </row>
    <row r="119" spans="1:13">
      <c r="A119" s="10">
        <v>97</v>
      </c>
      <c r="B119" s="10">
        <f t="shared" si="2"/>
        <v>162</v>
      </c>
      <c r="C119" s="11">
        <f ca="1">OFFSET(Mort_Start,MATCH(MIN(120,B119),Mort_Age_Range,0),0)</f>
        <v>1</v>
      </c>
      <c r="D119" s="20">
        <f>IF(A119&lt;5,$B$8,IF(A119&lt;20,$B$9,$B$10))</f>
        <v>5.5E-2</v>
      </c>
      <c r="E119" s="3" t="b">
        <f>AND(A119&gt;=$B$15,A119&lt;$B$15+$B$12)</f>
        <v>0</v>
      </c>
      <c r="F119" s="12">
        <f ca="1">IF(A119=0,1,F118*(1-C118))</f>
        <v>0</v>
      </c>
      <c r="G119" s="12">
        <f t="shared" si="3"/>
        <v>5.5527921256910235E-3</v>
      </c>
      <c r="H119" s="12">
        <f ca="1">13/24+11/24/(1+D119)*(1-C119)</f>
        <v>0.54166666666666663</v>
      </c>
      <c r="I119" s="12">
        <f>(1+$B$14)^(A119-$B$15)</f>
        <v>1</v>
      </c>
      <c r="J119" s="3" t="b">
        <f>AND(A119&gt;=$B$15+$B$12,OR($B$13=0,A119&lt;$B$15+$B$13))</f>
        <v>1</v>
      </c>
      <c r="K119" s="12">
        <f>IF(E119,$B$16*I119*G119*IF(D119=0,1,(1-(1+D119)^-1)/(12*(1-(1+D119)^(-1/12)))),0)</f>
        <v>0</v>
      </c>
      <c r="L119" s="12">
        <f ca="1">IF(J119,I119*G119*F119*H119,0)</f>
        <v>0</v>
      </c>
      <c r="M119" s="12">
        <f ca="1">K119+L119</f>
        <v>0</v>
      </c>
    </row>
    <row r="120" spans="1:13">
      <c r="A120" s="10">
        <v>98</v>
      </c>
      <c r="B120" s="10">
        <f t="shared" si="2"/>
        <v>163</v>
      </c>
      <c r="C120" s="11">
        <f ca="1">OFFSET(Mort_Start,MATCH(MIN(120,B120),Mort_Age_Range,0),0)</f>
        <v>1</v>
      </c>
      <c r="D120" s="20">
        <f>IF(A120&lt;5,$B$8,IF(A120&lt;20,$B$9,$B$10))</f>
        <v>5.5E-2</v>
      </c>
      <c r="E120" s="3" t="b">
        <f>AND(A120&gt;=$B$15,A120&lt;$B$15+$B$12)</f>
        <v>0</v>
      </c>
      <c r="F120" s="12">
        <f ca="1">IF(A120=0,1,F119*(1-C119))</f>
        <v>0</v>
      </c>
      <c r="G120" s="12">
        <f t="shared" si="3"/>
        <v>5.2633100717450459E-3</v>
      </c>
      <c r="H120" s="12">
        <f ca="1">13/24+11/24/(1+D120)*(1-C120)</f>
        <v>0.54166666666666663</v>
      </c>
      <c r="I120" s="12">
        <f>(1+$B$14)^(A120-$B$15)</f>
        <v>1</v>
      </c>
      <c r="J120" s="3" t="b">
        <f>AND(A120&gt;=$B$15+$B$12,OR($B$13=0,A120&lt;$B$15+$B$13))</f>
        <v>1</v>
      </c>
      <c r="K120" s="12">
        <f>IF(E120,$B$16*I120*G120*IF(D120=0,1,(1-(1+D120)^-1)/(12*(1-(1+D120)^(-1/12)))),0)</f>
        <v>0</v>
      </c>
      <c r="L120" s="12">
        <f ca="1">IF(J120,I120*G120*F120*H120,0)</f>
        <v>0</v>
      </c>
      <c r="M120" s="12">
        <f ca="1">K120+L120</f>
        <v>0</v>
      </c>
    </row>
    <row r="121" spans="1:13">
      <c r="A121" s="10">
        <v>99</v>
      </c>
      <c r="B121" s="10">
        <f t="shared" si="2"/>
        <v>164</v>
      </c>
      <c r="C121" s="11">
        <f ca="1">OFFSET(Mort_Start,MATCH(MIN(120,B121),Mort_Age_Range,0),0)</f>
        <v>1</v>
      </c>
      <c r="D121" s="20">
        <f>IF(A121&lt;5,$B$8,IF(A121&lt;20,$B$9,$B$10))</f>
        <v>5.5E-2</v>
      </c>
      <c r="E121" s="3" t="b">
        <f>AND(A121&gt;=$B$15,A121&lt;$B$15+$B$12)</f>
        <v>0</v>
      </c>
      <c r="F121" s="12">
        <f ca="1">IF(A121=0,1,F120*(1-C120))</f>
        <v>0</v>
      </c>
      <c r="G121" s="12">
        <f t="shared" si="3"/>
        <v>4.9889194992844051E-3</v>
      </c>
      <c r="H121" s="12">
        <f ca="1">13/24+11/24/(1+D121)*(1-C121)</f>
        <v>0.54166666666666663</v>
      </c>
      <c r="I121" s="12">
        <f>(1+$B$14)^(A121-$B$15)</f>
        <v>1</v>
      </c>
      <c r="J121" s="3" t="b">
        <f>AND(A121&gt;=$B$15+$B$12,OR($B$13=0,A121&lt;$B$15+$B$13))</f>
        <v>1</v>
      </c>
      <c r="K121" s="12">
        <f>IF(E121,$B$16*I121*G121*IF(D121=0,1,(1-(1+D121)^-1)/(12*(1-(1+D121)^(-1/12)))),0)</f>
        <v>0</v>
      </c>
      <c r="L121" s="12">
        <f ca="1">IF(J121,I121*G121*F121*H121,0)</f>
        <v>0</v>
      </c>
      <c r="M121" s="12">
        <f ca="1">K121+L121</f>
        <v>0</v>
      </c>
    </row>
    <row r="122" spans="1:13">
      <c r="A122" s="10">
        <v>100</v>
      </c>
      <c r="B122" s="10">
        <f t="shared" si="2"/>
        <v>165</v>
      </c>
      <c r="C122" s="11">
        <f ca="1">OFFSET(Mort_Start,MATCH(MIN(120,B122),Mort_Age_Range,0),0)</f>
        <v>1</v>
      </c>
      <c r="D122" s="20">
        <f>IF(A122&lt;5,$B$8,IF(A122&lt;20,$B$9,$B$10))</f>
        <v>5.5E-2</v>
      </c>
      <c r="E122" s="3" t="b">
        <f>AND(A122&gt;=$B$15,A122&lt;$B$15+$B$12)</f>
        <v>0</v>
      </c>
      <c r="F122" s="12">
        <f ca="1">IF(A122=0,1,F121*(1-C121))</f>
        <v>0</v>
      </c>
      <c r="G122" s="12">
        <f t="shared" si="3"/>
        <v>4.72883364861081E-3</v>
      </c>
      <c r="H122" s="12">
        <f ca="1">13/24+11/24/(1+D122)*(1-C122)</f>
        <v>0.54166666666666663</v>
      </c>
      <c r="I122" s="12">
        <f>(1+$B$14)^(A122-$B$15)</f>
        <v>1</v>
      </c>
      <c r="J122" s="3" t="b">
        <f>AND(A122&gt;=$B$15+$B$12,OR($B$13=0,A122&lt;$B$15+$B$13))</f>
        <v>1</v>
      </c>
      <c r="K122" s="12">
        <f>IF(E122,$B$16*I122*G122*IF(D122=0,1,(1-(1+D122)^-1)/(12*(1-(1+D122)^(-1/12)))),0)</f>
        <v>0</v>
      </c>
      <c r="L122" s="12">
        <f ca="1">IF(J122,I122*G122*F122*H122,0)</f>
        <v>0</v>
      </c>
      <c r="M122" s="12">
        <f ca="1">K122+L122</f>
        <v>0</v>
      </c>
    </row>
    <row r="123" spans="1:13">
      <c r="A123" s="10">
        <v>101</v>
      </c>
      <c r="B123" s="10">
        <f t="shared" si="2"/>
        <v>166</v>
      </c>
      <c r="C123" s="11">
        <f ca="1">OFFSET(Mort_Start,MATCH(MIN(120,B123),Mort_Age_Range,0),0)</f>
        <v>1</v>
      </c>
      <c r="D123" s="20">
        <f>IF(A123&lt;5,$B$8,IF(A123&lt;20,$B$9,$B$10))</f>
        <v>5.5E-2</v>
      </c>
      <c r="E123" s="3" t="b">
        <f>AND(A123&gt;=$B$15,A123&lt;$B$15+$B$12)</f>
        <v>0</v>
      </c>
      <c r="F123" s="12">
        <f ca="1">IF(A123=0,1,F122*(1-C122))</f>
        <v>0</v>
      </c>
      <c r="G123" s="12">
        <f t="shared" si="3"/>
        <v>4.4823067759344176E-3</v>
      </c>
      <c r="H123" s="12">
        <f ca="1">13/24+11/24/(1+D123)*(1-C123)</f>
        <v>0.54166666666666663</v>
      </c>
      <c r="I123" s="12">
        <f>(1+$B$14)^(A123-$B$15)</f>
        <v>1</v>
      </c>
      <c r="J123" s="3" t="b">
        <f>AND(A123&gt;=$B$15+$B$12,OR($B$13=0,A123&lt;$B$15+$B$13))</f>
        <v>1</v>
      </c>
      <c r="K123" s="12">
        <f>IF(E123,$B$16*I123*G123*IF(D123=0,1,(1-(1+D123)^-1)/(12*(1-(1+D123)^(-1/12)))),0)</f>
        <v>0</v>
      </c>
      <c r="L123" s="12">
        <f ca="1">IF(J123,I123*G123*F123*H123,0)</f>
        <v>0</v>
      </c>
      <c r="M123" s="12">
        <f ca="1">K123+L123</f>
        <v>0</v>
      </c>
    </row>
    <row r="124" spans="1:13">
      <c r="A124" s="10">
        <v>102</v>
      </c>
      <c r="B124" s="10">
        <f t="shared" si="2"/>
        <v>167</v>
      </c>
      <c r="C124" s="11">
        <f ca="1">OFFSET(Mort_Start,MATCH(MIN(120,B124),Mort_Age_Range,0),0)</f>
        <v>1</v>
      </c>
      <c r="D124" s="20">
        <f>IF(A124&lt;5,$B$8,IF(A124&lt;20,$B$9,$B$10))</f>
        <v>5.5E-2</v>
      </c>
      <c r="E124" s="3" t="b">
        <f>AND(A124&gt;=$B$15,A124&lt;$B$15+$B$12)</f>
        <v>0</v>
      </c>
      <c r="F124" s="12">
        <f ca="1">IF(A124=0,1,F123*(1-C123))</f>
        <v>0</v>
      </c>
      <c r="G124" s="12">
        <f t="shared" si="3"/>
        <v>4.248632015103713E-3</v>
      </c>
      <c r="H124" s="12">
        <f ca="1">13/24+11/24/(1+D124)*(1-C124)</f>
        <v>0.54166666666666663</v>
      </c>
      <c r="I124" s="12">
        <f>(1+$B$14)^(A124-$B$15)</f>
        <v>1</v>
      </c>
      <c r="J124" s="3" t="b">
        <f>AND(A124&gt;=$B$15+$B$12,OR($B$13=0,A124&lt;$B$15+$B$13))</f>
        <v>1</v>
      </c>
      <c r="K124" s="12">
        <f>IF(E124,$B$16*I124*G124*IF(D124=0,1,(1-(1+D124)^-1)/(12*(1-(1+D124)^(-1/12)))),0)</f>
        <v>0</v>
      </c>
      <c r="L124" s="12">
        <f ca="1">IF(J124,I124*G124*F124*H124,0)</f>
        <v>0</v>
      </c>
      <c r="M124" s="12">
        <f ca="1">K124+L124</f>
        <v>0</v>
      </c>
    </row>
    <row r="125" spans="1:13">
      <c r="A125" s="10">
        <v>103</v>
      </c>
      <c r="B125" s="10">
        <f t="shared" si="2"/>
        <v>168</v>
      </c>
      <c r="C125" s="11">
        <f ca="1">OFFSET(Mort_Start,MATCH(MIN(120,B125),Mort_Age_Range,0),0)</f>
        <v>1</v>
      </c>
      <c r="D125" s="20">
        <f>IF(A125&lt;5,$B$8,IF(A125&lt;20,$B$9,$B$10))</f>
        <v>5.5E-2</v>
      </c>
      <c r="E125" s="3" t="b">
        <f>AND(A125&gt;=$B$15,A125&lt;$B$15+$B$12)</f>
        <v>0</v>
      </c>
      <c r="F125" s="12">
        <f ca="1">IF(A125=0,1,F124*(1-C124))</f>
        <v>0</v>
      </c>
      <c r="G125" s="12">
        <f t="shared" si="3"/>
        <v>4.0271393508092071E-3</v>
      </c>
      <c r="H125" s="12">
        <f ca="1">13/24+11/24/(1+D125)*(1-C125)</f>
        <v>0.54166666666666663</v>
      </c>
      <c r="I125" s="12">
        <f>(1+$B$14)^(A125-$B$15)</f>
        <v>1</v>
      </c>
      <c r="J125" s="3" t="b">
        <f>AND(A125&gt;=$B$15+$B$12,OR($B$13=0,A125&lt;$B$15+$B$13))</f>
        <v>1</v>
      </c>
      <c r="K125" s="12">
        <f>IF(E125,$B$16*I125*G125*IF(D125=0,1,(1-(1+D125)^-1)/(12*(1-(1+D125)^(-1/12)))),0)</f>
        <v>0</v>
      </c>
      <c r="L125" s="12">
        <f ca="1">IF(J125,I125*G125*F125*H125,0)</f>
        <v>0</v>
      </c>
      <c r="M125" s="12">
        <f ca="1">K125+L125</f>
        <v>0</v>
      </c>
    </row>
    <row r="126" spans="1:13">
      <c r="A126" s="10">
        <v>104</v>
      </c>
      <c r="B126" s="10">
        <f t="shared" si="2"/>
        <v>169</v>
      </c>
      <c r="C126" s="11">
        <f ca="1">OFFSET(Mort_Start,MATCH(MIN(120,B126),Mort_Age_Range,0),0)</f>
        <v>1</v>
      </c>
      <c r="D126" s="20">
        <f>IF(A126&lt;5,$B$8,IF(A126&lt;20,$B$9,$B$10))</f>
        <v>5.5E-2</v>
      </c>
      <c r="E126" s="3" t="b">
        <f>AND(A126&gt;=$B$15,A126&lt;$B$15+$B$12)</f>
        <v>0</v>
      </c>
      <c r="F126" s="12">
        <f ca="1">IF(A126=0,1,F125*(1-C125))</f>
        <v>0</v>
      </c>
      <c r="G126" s="12">
        <f t="shared" si="3"/>
        <v>3.8171936974494853E-3</v>
      </c>
      <c r="H126" s="12">
        <f ca="1">13/24+11/24/(1+D126)*(1-C126)</f>
        <v>0.54166666666666663</v>
      </c>
      <c r="I126" s="12">
        <f>(1+$B$14)^(A126-$B$15)</f>
        <v>1</v>
      </c>
      <c r="J126" s="3" t="b">
        <f>AND(A126&gt;=$B$15+$B$12,OR($B$13=0,A126&lt;$B$15+$B$13))</f>
        <v>1</v>
      </c>
      <c r="K126" s="12">
        <f>IF(E126,$B$16*I126*G126*IF(D126=0,1,(1-(1+D126)^-1)/(12*(1-(1+D126)^(-1/12)))),0)</f>
        <v>0</v>
      </c>
      <c r="L126" s="12">
        <f ca="1">IF(J126,I126*G126*F126*H126,0)</f>
        <v>0</v>
      </c>
      <c r="M126" s="12">
        <f ca="1">K126+L126</f>
        <v>0</v>
      </c>
    </row>
    <row r="127" spans="1:13">
      <c r="A127" s="10">
        <v>105</v>
      </c>
      <c r="B127" s="10">
        <f t="shared" si="2"/>
        <v>170</v>
      </c>
      <c r="C127" s="11">
        <f ca="1">OFFSET(Mort_Start,MATCH(MIN(120,B127),Mort_Age_Range,0),0)</f>
        <v>1</v>
      </c>
      <c r="D127" s="20">
        <f>IF(A127&lt;5,$B$8,IF(A127&lt;20,$B$9,$B$10))</f>
        <v>5.5E-2</v>
      </c>
      <c r="E127" s="3" t="b">
        <f>AND(A127&gt;=$B$15,A127&lt;$B$15+$B$12)</f>
        <v>0</v>
      </c>
      <c r="F127" s="12">
        <f ca="1">IF(A127=0,1,F126*(1-C126))</f>
        <v>0</v>
      </c>
      <c r="G127" s="12">
        <f t="shared" si="3"/>
        <v>3.6181930781511713E-3</v>
      </c>
      <c r="H127" s="12">
        <f ca="1">13/24+11/24/(1+D127)*(1-C127)</f>
        <v>0.54166666666666663</v>
      </c>
      <c r="I127" s="12">
        <f>(1+$B$14)^(A127-$B$15)</f>
        <v>1</v>
      </c>
      <c r="J127" s="3" t="b">
        <f>AND(A127&gt;=$B$15+$B$12,OR($B$13=0,A127&lt;$B$15+$B$13))</f>
        <v>1</v>
      </c>
      <c r="K127" s="12">
        <f>IF(E127,$B$16*I127*G127*IF(D127=0,1,(1-(1+D127)^-1)/(12*(1-(1+D127)^(-1/12)))),0)</f>
        <v>0</v>
      </c>
      <c r="L127" s="12">
        <f ca="1">IF(J127,I127*G127*F127*H127,0)</f>
        <v>0</v>
      </c>
      <c r="M127" s="12">
        <f ca="1">K127+L127</f>
        <v>0</v>
      </c>
    </row>
    <row r="128" spans="1:13">
      <c r="A128" s="10">
        <v>106</v>
      </c>
      <c r="B128" s="10">
        <f t="shared" si="2"/>
        <v>171</v>
      </c>
      <c r="C128" s="11">
        <f ca="1">OFFSET(Mort_Start,MATCH(MIN(120,B128),Mort_Age_Range,0),0)</f>
        <v>1</v>
      </c>
      <c r="D128" s="20">
        <f>IF(A128&lt;5,$B$8,IF(A128&lt;20,$B$9,$B$10))</f>
        <v>5.5E-2</v>
      </c>
      <c r="E128" s="3" t="b">
        <f>AND(A128&gt;=$B$15,A128&lt;$B$15+$B$12)</f>
        <v>0</v>
      </c>
      <c r="F128" s="12">
        <f ca="1">IF(A128=0,1,F127*(1-C127))</f>
        <v>0</v>
      </c>
      <c r="G128" s="12">
        <f t="shared" si="3"/>
        <v>3.4295668987214894E-3</v>
      </c>
      <c r="H128" s="12">
        <f ca="1">13/24+11/24/(1+D128)*(1-C128)</f>
        <v>0.54166666666666663</v>
      </c>
      <c r="I128" s="12">
        <f>(1+$B$14)^(A128-$B$15)</f>
        <v>1</v>
      </c>
      <c r="J128" s="3" t="b">
        <f>AND(A128&gt;=$B$15+$B$12,OR($B$13=0,A128&lt;$B$15+$B$13))</f>
        <v>1</v>
      </c>
      <c r="K128" s="12">
        <f>IF(E128,$B$16*I128*G128*IF(D128=0,1,(1-(1+D128)^-1)/(12*(1-(1+D128)^(-1/12)))),0)</f>
        <v>0</v>
      </c>
      <c r="L128" s="12">
        <f ca="1">IF(J128,I128*G128*F128*H128,0)</f>
        <v>0</v>
      </c>
      <c r="M128" s="12">
        <f ca="1">K128+L128</f>
        <v>0</v>
      </c>
    </row>
    <row r="129" spans="1:13">
      <c r="A129" s="10">
        <v>107</v>
      </c>
      <c r="B129" s="10">
        <f t="shared" si="2"/>
        <v>172</v>
      </c>
      <c r="C129" s="11">
        <f ca="1">OFFSET(Mort_Start,MATCH(MIN(120,B129),Mort_Age_Range,0),0)</f>
        <v>1</v>
      </c>
      <c r="D129" s="20">
        <f>IF(A129&lt;5,$B$8,IF(A129&lt;20,$B$9,$B$10))</f>
        <v>5.5E-2</v>
      </c>
      <c r="E129" s="3" t="b">
        <f>AND(A129&gt;=$B$15,A129&lt;$B$15+$B$12)</f>
        <v>0</v>
      </c>
      <c r="F129" s="12">
        <f ca="1">IF(A129=0,1,F128*(1-C128))</f>
        <v>0</v>
      </c>
      <c r="G129" s="12">
        <f t="shared" si="3"/>
        <v>3.2507743115843504E-3</v>
      </c>
      <c r="H129" s="12">
        <f ca="1">13/24+11/24/(1+D129)*(1-C129)</f>
        <v>0.54166666666666663</v>
      </c>
      <c r="I129" s="12">
        <f>(1+$B$14)^(A129-$B$15)</f>
        <v>1</v>
      </c>
      <c r="J129" s="3" t="b">
        <f>AND(A129&gt;=$B$15+$B$12,OR($B$13=0,A129&lt;$B$15+$B$13))</f>
        <v>1</v>
      </c>
      <c r="K129" s="12">
        <f>IF(E129,$B$16*I129*G129*IF(D129=0,1,(1-(1+D129)^-1)/(12*(1-(1+D129)^(-1/12)))),0)</f>
        <v>0</v>
      </c>
      <c r="L129" s="12">
        <f ca="1">IF(J129,I129*G129*F129*H129,0)</f>
        <v>0</v>
      </c>
      <c r="M129" s="12">
        <f ca="1">K129+L129</f>
        <v>0</v>
      </c>
    </row>
    <row r="130" spans="1:13">
      <c r="A130" s="10">
        <v>108</v>
      </c>
      <c r="B130" s="10">
        <f t="shared" si="2"/>
        <v>173</v>
      </c>
      <c r="C130" s="11">
        <f ca="1">OFFSET(Mort_Start,MATCH(MIN(120,B130),Mort_Age_Range,0),0)</f>
        <v>1</v>
      </c>
      <c r="D130" s="20">
        <f>IF(A130&lt;5,$B$8,IF(A130&lt;20,$B$9,$B$10))</f>
        <v>5.5E-2</v>
      </c>
      <c r="E130" s="3" t="b">
        <f>AND(A130&gt;=$B$15,A130&lt;$B$15+$B$12)</f>
        <v>0</v>
      </c>
      <c r="F130" s="12">
        <f ca="1">IF(A130=0,1,F129*(1-C129))</f>
        <v>0</v>
      </c>
      <c r="G130" s="12">
        <f t="shared" si="3"/>
        <v>3.0813026650088628E-3</v>
      </c>
      <c r="H130" s="12">
        <f ca="1">13/24+11/24/(1+D130)*(1-C130)</f>
        <v>0.54166666666666663</v>
      </c>
      <c r="I130" s="12">
        <f>(1+$B$14)^(A130-$B$15)</f>
        <v>1</v>
      </c>
      <c r="J130" s="3" t="b">
        <f>AND(A130&gt;=$B$15+$B$12,OR($B$13=0,A130&lt;$B$15+$B$13))</f>
        <v>1</v>
      </c>
      <c r="K130" s="12">
        <f>IF(E130,$B$16*I130*G130*IF(D130=0,1,(1-(1+D130)^-1)/(12*(1-(1+D130)^(-1/12)))),0)</f>
        <v>0</v>
      </c>
      <c r="L130" s="12">
        <f ca="1">IF(J130,I130*G130*F130*H130,0)</f>
        <v>0</v>
      </c>
      <c r="M130" s="12">
        <f ca="1">K130+L130</f>
        <v>0</v>
      </c>
    </row>
    <row r="131" spans="1:13">
      <c r="A131" s="10">
        <v>109</v>
      </c>
      <c r="B131" s="10">
        <f t="shared" si="2"/>
        <v>174</v>
      </c>
      <c r="C131" s="11">
        <f ca="1">OFFSET(Mort_Start,MATCH(MIN(120,B131),Mort_Age_Range,0),0)</f>
        <v>1</v>
      </c>
      <c r="D131" s="20">
        <f>IF(A131&lt;5,$B$8,IF(A131&lt;20,$B$9,$B$10))</f>
        <v>5.5E-2</v>
      </c>
      <c r="E131" s="3" t="b">
        <f>AND(A131&gt;=$B$15,A131&lt;$B$15+$B$12)</f>
        <v>0</v>
      </c>
      <c r="F131" s="12">
        <f ca="1">IF(A131=0,1,F130*(1-C130))</f>
        <v>0</v>
      </c>
      <c r="G131" s="12">
        <f t="shared" si="3"/>
        <v>2.9206660331837562E-3</v>
      </c>
      <c r="H131" s="12">
        <f ca="1">13/24+11/24/(1+D131)*(1-C131)</f>
        <v>0.54166666666666663</v>
      </c>
      <c r="I131" s="12">
        <f>(1+$B$14)^(A131-$B$15)</f>
        <v>1</v>
      </c>
      <c r="J131" s="3" t="b">
        <f>AND(A131&gt;=$B$15+$B$12,OR($B$13=0,A131&lt;$B$15+$B$13))</f>
        <v>1</v>
      </c>
      <c r="K131" s="12">
        <f>IF(E131,$B$16*I131*G131*IF(D131=0,1,(1-(1+D131)^-1)/(12*(1-(1+D131)^(-1/12)))),0)</f>
        <v>0</v>
      </c>
      <c r="L131" s="12">
        <f ca="1">IF(J131,I131*G131*F131*H131,0)</f>
        <v>0</v>
      </c>
      <c r="M131" s="12">
        <f ca="1">K131+L131</f>
        <v>0</v>
      </c>
    </row>
    <row r="132" spans="1:13">
      <c r="A132" s="10">
        <v>110</v>
      </c>
      <c r="B132" s="10">
        <f t="shared" si="2"/>
        <v>175</v>
      </c>
      <c r="C132" s="11">
        <f ca="1">OFFSET(Mort_Start,MATCH(MIN(120,B132),Mort_Age_Range,0),0)</f>
        <v>1</v>
      </c>
      <c r="D132" s="20">
        <f>IF(A132&lt;5,$B$8,IF(A132&lt;20,$B$9,$B$10))</f>
        <v>5.5E-2</v>
      </c>
      <c r="E132" s="3" t="b">
        <f>AND(A132&gt;=$B$15,A132&lt;$B$15+$B$12)</f>
        <v>0</v>
      </c>
      <c r="F132" s="12">
        <f ca="1">IF(A132=0,1,F131*(1-C131))</f>
        <v>0</v>
      </c>
      <c r="G132" s="12">
        <f t="shared" si="3"/>
        <v>2.7684038229229919E-3</v>
      </c>
      <c r="H132" s="12">
        <f ca="1">13/24+11/24/(1+D132)*(1-C132)</f>
        <v>0.54166666666666663</v>
      </c>
      <c r="I132" s="12">
        <f>(1+$B$14)^(A132-$B$15)</f>
        <v>1</v>
      </c>
      <c r="J132" s="3" t="b">
        <f>AND(A132&gt;=$B$15+$B$12,OR($B$13=0,A132&lt;$B$15+$B$13))</f>
        <v>1</v>
      </c>
      <c r="K132" s="12">
        <f>IF(E132,$B$16*I132*G132*IF(D132=0,1,(1-(1+D132)^-1)/(12*(1-(1+D132)^(-1/12)))),0)</f>
        <v>0</v>
      </c>
      <c r="L132" s="12">
        <f ca="1">IF(J132,I132*G132*F132*H132,0)</f>
        <v>0</v>
      </c>
      <c r="M132" s="12">
        <f ca="1">K132+L132</f>
        <v>0</v>
      </c>
    </row>
    <row r="133" spans="1:13">
      <c r="A133" s="10">
        <v>111</v>
      </c>
      <c r="B133" s="10">
        <f t="shared" si="2"/>
        <v>176</v>
      </c>
      <c r="C133" s="11">
        <f ca="1">OFFSET(Mort_Start,MATCH(MIN(120,B133),Mort_Age_Range,0),0)</f>
        <v>1</v>
      </c>
      <c r="D133" s="20">
        <f>IF(A133&lt;5,$B$8,IF(A133&lt;20,$B$9,$B$10))</f>
        <v>5.5E-2</v>
      </c>
      <c r="E133" s="3" t="b">
        <f>AND(A133&gt;=$B$15,A133&lt;$B$15+$B$12)</f>
        <v>0</v>
      </c>
      <c r="F133" s="12">
        <f ca="1">IF(A133=0,1,F132*(1-C132))</f>
        <v>0</v>
      </c>
      <c r="G133" s="12">
        <f t="shared" si="3"/>
        <v>2.6240794530075751E-3</v>
      </c>
      <c r="H133" s="12">
        <f ca="1">13/24+11/24/(1+D133)*(1-C133)</f>
        <v>0.54166666666666663</v>
      </c>
      <c r="I133" s="12">
        <f>(1+$B$14)^(A133-$B$15)</f>
        <v>1</v>
      </c>
      <c r="J133" s="3" t="b">
        <f>AND(A133&gt;=$B$15+$B$12,OR($B$13=0,A133&lt;$B$15+$B$13))</f>
        <v>1</v>
      </c>
      <c r="K133" s="12">
        <f>IF(E133,$B$16*I133*G133*IF(D133=0,1,(1-(1+D133)^-1)/(12*(1-(1+D133)^(-1/12)))),0)</f>
        <v>0</v>
      </c>
      <c r="L133" s="12">
        <f ca="1">IF(J133,I133*G133*F133*H133,0)</f>
        <v>0</v>
      </c>
      <c r="M133" s="12">
        <f ca="1">K133+L133</f>
        <v>0</v>
      </c>
    </row>
    <row r="134" spans="1:13">
      <c r="A134" s="10">
        <v>112</v>
      </c>
      <c r="B134" s="10">
        <f t="shared" si="2"/>
        <v>177</v>
      </c>
      <c r="C134" s="11">
        <f ca="1">OFFSET(Mort_Start,MATCH(MIN(120,B134),Mort_Age_Range,0),0)</f>
        <v>1</v>
      </c>
      <c r="D134" s="20">
        <f>IF(A134&lt;5,$B$8,IF(A134&lt;20,$B$9,$B$10))</f>
        <v>5.5E-2</v>
      </c>
      <c r="E134" s="3" t="b">
        <f>AND(A134&gt;=$B$15,A134&lt;$B$15+$B$12)</f>
        <v>0</v>
      </c>
      <c r="F134" s="12">
        <f ca="1">IF(A134=0,1,F133*(1-C133))</f>
        <v>0</v>
      </c>
      <c r="G134" s="12">
        <f t="shared" si="3"/>
        <v>2.487279102376849E-3</v>
      </c>
      <c r="H134" s="12">
        <f ca="1">13/24+11/24/(1+D134)*(1-C134)</f>
        <v>0.54166666666666663</v>
      </c>
      <c r="I134" s="12">
        <f>(1+$B$14)^(A134-$B$15)</f>
        <v>1</v>
      </c>
      <c r="J134" s="3" t="b">
        <f>AND(A134&gt;=$B$15+$B$12,OR($B$13=0,A134&lt;$B$15+$B$13))</f>
        <v>1</v>
      </c>
      <c r="K134" s="12">
        <f>IF(E134,$B$16*I134*G134*IF(D134=0,1,(1-(1+D134)^-1)/(12*(1-(1+D134)^(-1/12)))),0)</f>
        <v>0</v>
      </c>
      <c r="L134" s="12">
        <f ca="1">IF(J134,I134*G134*F134*H134,0)</f>
        <v>0</v>
      </c>
      <c r="M134" s="12">
        <f ca="1">K134+L134</f>
        <v>0</v>
      </c>
    </row>
    <row r="135" spans="1:13">
      <c r="A135" s="10">
        <v>113</v>
      </c>
      <c r="B135" s="10">
        <f t="shared" si="2"/>
        <v>178</v>
      </c>
      <c r="C135" s="11">
        <f ca="1">OFFSET(Mort_Start,MATCH(MIN(120,B135),Mort_Age_Range,0),0)</f>
        <v>1</v>
      </c>
      <c r="D135" s="20">
        <f>IF(A135&lt;5,$B$8,IF(A135&lt;20,$B$9,$B$10))</f>
        <v>5.5E-2</v>
      </c>
      <c r="E135" s="3" t="b">
        <f>AND(A135&gt;=$B$15,A135&lt;$B$15+$B$12)</f>
        <v>0</v>
      </c>
      <c r="F135" s="12">
        <f ca="1">IF(A135=0,1,F134*(1-C134))</f>
        <v>0</v>
      </c>
      <c r="G135" s="12">
        <f t="shared" si="3"/>
        <v>2.357610523579952E-3</v>
      </c>
      <c r="H135" s="12">
        <f ca="1">13/24+11/24/(1+D135)*(1-C135)</f>
        <v>0.54166666666666663</v>
      </c>
      <c r="I135" s="12">
        <f>(1+$B$14)^(A135-$B$15)</f>
        <v>1</v>
      </c>
      <c r="J135" s="3" t="b">
        <f>AND(A135&gt;=$B$15+$B$12,OR($B$13=0,A135&lt;$B$15+$B$13))</f>
        <v>1</v>
      </c>
      <c r="K135" s="12">
        <f>IF(E135,$B$16*I135*G135*IF(D135=0,1,(1-(1+D135)^-1)/(12*(1-(1+D135)^(-1/12)))),0)</f>
        <v>0</v>
      </c>
      <c r="L135" s="12">
        <f ca="1">IF(J135,I135*G135*F135*H135,0)</f>
        <v>0</v>
      </c>
      <c r="M135" s="12">
        <f ca="1">K135+L135</f>
        <v>0</v>
      </c>
    </row>
    <row r="136" spans="1:13">
      <c r="A136" s="10">
        <v>114</v>
      </c>
      <c r="B136" s="10">
        <f t="shared" si="2"/>
        <v>179</v>
      </c>
      <c r="C136" s="11">
        <f ca="1">OFFSET(Mort_Start,MATCH(MIN(120,B136),Mort_Age_Range,0),0)</f>
        <v>1</v>
      </c>
      <c r="D136" s="20">
        <f>IF(A136&lt;5,$B$8,IF(A136&lt;20,$B$9,$B$10))</f>
        <v>5.5E-2</v>
      </c>
      <c r="E136" s="3" t="b">
        <f>AND(A136&gt;=$B$15,A136&lt;$B$15+$B$12)</f>
        <v>0</v>
      </c>
      <c r="F136" s="12">
        <f ca="1">IF(A136=0,1,F135*(1-C135))</f>
        <v>0</v>
      </c>
      <c r="G136" s="12">
        <f t="shared" si="3"/>
        <v>2.2347019180852623E-3</v>
      </c>
      <c r="H136" s="12">
        <f ca="1">13/24+11/24/(1+D136)*(1-C136)</f>
        <v>0.54166666666666663</v>
      </c>
      <c r="I136" s="12">
        <f>(1+$B$14)^(A136-$B$15)</f>
        <v>1</v>
      </c>
      <c r="J136" s="3" t="b">
        <f>AND(A136&gt;=$B$15+$B$12,OR($B$13=0,A136&lt;$B$15+$B$13))</f>
        <v>1</v>
      </c>
      <c r="K136" s="12">
        <f>IF(E136,$B$16*I136*G136*IF(D136=0,1,(1-(1+D136)^-1)/(12*(1-(1+D136)^(-1/12)))),0)</f>
        <v>0</v>
      </c>
      <c r="L136" s="12">
        <f ca="1">IF(J136,I136*G136*F136*H136,0)</f>
        <v>0</v>
      </c>
      <c r="M136" s="12">
        <f ca="1">K136+L136</f>
        <v>0</v>
      </c>
    </row>
    <row r="137" spans="1:13">
      <c r="A137" s="10">
        <v>115</v>
      </c>
      <c r="B137" s="10">
        <f t="shared" si="2"/>
        <v>180</v>
      </c>
      <c r="C137" s="11">
        <f ca="1">OFFSET(Mort_Start,MATCH(MIN(120,B137),Mort_Age_Range,0),0)</f>
        <v>1</v>
      </c>
      <c r="D137" s="20">
        <f>IF(A137&lt;5,$B$8,IF(A137&lt;20,$B$9,$B$10))</f>
        <v>5.5E-2</v>
      </c>
      <c r="E137" s="3" t="b">
        <f>AND(A137&gt;=$B$15,A137&lt;$B$15+$B$12)</f>
        <v>0</v>
      </c>
      <c r="F137" s="12">
        <f ca="1">IF(A137=0,1,F136*(1-C136))</f>
        <v>0</v>
      </c>
      <c r="G137" s="12">
        <f t="shared" si="3"/>
        <v>2.1182008702229976E-3</v>
      </c>
      <c r="H137" s="12">
        <f ca="1">13/24+11/24/(1+D137)*(1-C137)</f>
        <v>0.54166666666666663</v>
      </c>
      <c r="I137" s="12">
        <f>(1+$B$14)^(A137-$B$15)</f>
        <v>1</v>
      </c>
      <c r="J137" s="3" t="b">
        <f>AND(A137&gt;=$B$15+$B$12,OR($B$13=0,A137&lt;$B$15+$B$13))</f>
        <v>1</v>
      </c>
      <c r="K137" s="12">
        <f>IF(E137,$B$16*I137*G137*IF(D137=0,1,(1-(1+D137)^-1)/(12*(1-(1+D137)^(-1/12)))),0)</f>
        <v>0</v>
      </c>
      <c r="L137" s="12">
        <f ca="1">IF(J137,I137*G137*F137*H137,0)</f>
        <v>0</v>
      </c>
      <c r="M137" s="12">
        <f ca="1">K137+L137</f>
        <v>0</v>
      </c>
    </row>
    <row r="138" spans="1:13">
      <c r="A138" s="10">
        <v>116</v>
      </c>
      <c r="B138" s="10">
        <f t="shared" si="2"/>
        <v>181</v>
      </c>
      <c r="C138" s="11">
        <f ca="1">OFFSET(Mort_Start,MATCH(MIN(120,B138),Mort_Age_Range,0),0)</f>
        <v>1</v>
      </c>
      <c r="D138" s="20">
        <f>IF(A138&lt;5,$B$8,IF(A138&lt;20,$B$9,$B$10))</f>
        <v>5.5E-2</v>
      </c>
      <c r="E138" s="3" t="b">
        <f>AND(A138&gt;=$B$15,A138&lt;$B$15+$B$12)</f>
        <v>0</v>
      </c>
      <c r="F138" s="12">
        <f ca="1">IF(A138=0,1,F137*(1-C137))</f>
        <v>0</v>
      </c>
      <c r="G138" s="12">
        <f t="shared" si="3"/>
        <v>2.007773336704263E-3</v>
      </c>
      <c r="H138" s="12">
        <f ca="1">13/24+11/24/(1+D138)*(1-C138)</f>
        <v>0.54166666666666663</v>
      </c>
      <c r="I138" s="12">
        <f>(1+$B$14)^(A138-$B$15)</f>
        <v>1</v>
      </c>
      <c r="J138" s="3" t="b">
        <f>AND(A138&gt;=$B$15+$B$12,OR($B$13=0,A138&lt;$B$15+$B$13))</f>
        <v>1</v>
      </c>
      <c r="K138" s="12">
        <f>IF(E138,$B$16*I138*G138*IF(D138=0,1,(1-(1+D138)^-1)/(12*(1-(1+D138)^(-1/12)))),0)</f>
        <v>0</v>
      </c>
      <c r="L138" s="12">
        <f ca="1">IF(J138,I138*G138*F138*H138,0)</f>
        <v>0</v>
      </c>
      <c r="M138" s="12">
        <f ca="1">K138+L138</f>
        <v>0</v>
      </c>
    </row>
    <row r="139" spans="1:13">
      <c r="A139" s="10">
        <v>117</v>
      </c>
      <c r="B139" s="10">
        <f t="shared" si="2"/>
        <v>182</v>
      </c>
      <c r="C139" s="11">
        <f ca="1">OFFSET(Mort_Start,MATCH(MIN(120,B139),Mort_Age_Range,0),0)</f>
        <v>1</v>
      </c>
      <c r="D139" s="20">
        <f>IF(A139&lt;5,$B$8,IF(A139&lt;20,$B$9,$B$10))</f>
        <v>5.5E-2</v>
      </c>
      <c r="E139" s="3" t="b">
        <f>AND(A139&gt;=$B$15,A139&lt;$B$15+$B$12)</f>
        <v>0</v>
      </c>
      <c r="F139" s="12">
        <f ca="1">IF(A139=0,1,F138*(1-C138))</f>
        <v>0</v>
      </c>
      <c r="G139" s="12">
        <f t="shared" si="3"/>
        <v>1.9031026888192066E-3</v>
      </c>
      <c r="H139" s="12">
        <f ca="1">13/24+11/24/(1+D139)*(1-C139)</f>
        <v>0.54166666666666663</v>
      </c>
      <c r="I139" s="12">
        <f>(1+$B$14)^(A139-$B$15)</f>
        <v>1</v>
      </c>
      <c r="J139" s="3" t="b">
        <f>AND(A139&gt;=$B$15+$B$12,OR($B$13=0,A139&lt;$B$15+$B$13))</f>
        <v>1</v>
      </c>
      <c r="K139" s="12">
        <f>IF(E139,$B$16*I139*G139*IF(D139=0,1,(1-(1+D139)^-1)/(12*(1-(1+D139)^(-1/12)))),0)</f>
        <v>0</v>
      </c>
      <c r="L139" s="12">
        <f ca="1">IF(J139,I139*G139*F139*H139,0)</f>
        <v>0</v>
      </c>
      <c r="M139" s="12">
        <f ca="1">K139+L139</f>
        <v>0</v>
      </c>
    </row>
    <row r="140" spans="1:13">
      <c r="A140" s="10">
        <v>118</v>
      </c>
      <c r="B140" s="10">
        <f t="shared" si="2"/>
        <v>183</v>
      </c>
      <c r="C140" s="11">
        <f ca="1">OFFSET(Mort_Start,MATCH(MIN(120,B140),Mort_Age_Range,0),0)</f>
        <v>1</v>
      </c>
      <c r="D140" s="20">
        <f>IF(A140&lt;5,$B$8,IF(A140&lt;20,$B$9,$B$10))</f>
        <v>5.5E-2</v>
      </c>
      <c r="E140" s="3" t="b">
        <f>AND(A140&gt;=$B$15,A140&lt;$B$15+$B$12)</f>
        <v>0</v>
      </c>
      <c r="F140" s="12">
        <f ca="1">IF(A140=0,1,F139*(1-C139))</f>
        <v>0</v>
      </c>
      <c r="G140" s="12">
        <f t="shared" si="3"/>
        <v>1.8038888045679685E-3</v>
      </c>
      <c r="H140" s="12">
        <f ca="1">13/24+11/24/(1+D140)*(1-C140)</f>
        <v>0.54166666666666663</v>
      </c>
      <c r="I140" s="12">
        <f>(1+$B$14)^(A140-$B$15)</f>
        <v>1</v>
      </c>
      <c r="J140" s="3" t="b">
        <f>AND(A140&gt;=$B$15+$B$12,OR($B$13=0,A140&lt;$B$15+$B$13))</f>
        <v>1</v>
      </c>
      <c r="K140" s="12">
        <f>IF(E140,$B$16*I140*G140*IF(D140=0,1,(1-(1+D140)^-1)/(12*(1-(1+D140)^(-1/12)))),0)</f>
        <v>0</v>
      </c>
      <c r="L140" s="12">
        <f ca="1">IF(J140,I140*G140*F140*H140,0)</f>
        <v>0</v>
      </c>
      <c r="M140" s="12">
        <f ca="1">K140+L140</f>
        <v>0</v>
      </c>
    </row>
    <row r="141" spans="1:13">
      <c r="A141" s="10">
        <v>119</v>
      </c>
      <c r="B141" s="10">
        <f t="shared" si="2"/>
        <v>184</v>
      </c>
      <c r="C141" s="11">
        <f ca="1">OFFSET(Mort_Start,MATCH(MIN(120,B141),Mort_Age_Range,0),0)</f>
        <v>1</v>
      </c>
      <c r="D141" s="20">
        <f>IF(A141&lt;5,$B$8,IF(A141&lt;20,$B$9,$B$10))</f>
        <v>5.5E-2</v>
      </c>
      <c r="E141" s="3" t="b">
        <f>AND(A141&gt;=$B$15,A141&lt;$B$15+$B$12)</f>
        <v>0</v>
      </c>
      <c r="F141" s="12">
        <f ca="1">IF(A141=0,1,F140*(1-C140))</f>
        <v>0</v>
      </c>
      <c r="G141" s="12">
        <f t="shared" si="3"/>
        <v>1.7098472081212976E-3</v>
      </c>
      <c r="H141" s="12">
        <f ca="1">13/24+11/24/(1+D141)*(1-C141)</f>
        <v>0.54166666666666663</v>
      </c>
      <c r="I141" s="12">
        <f>(1+$B$14)^(A141-$B$15)</f>
        <v>1</v>
      </c>
      <c r="J141" s="3" t="b">
        <f>AND(A141&gt;=$B$15+$B$12,OR($B$13=0,A141&lt;$B$15+$B$13))</f>
        <v>1</v>
      </c>
      <c r="K141" s="12">
        <f>IF(E141,$B$16*I141*G141*IF(D141=0,1,(1-(1+D141)^-1)/(12*(1-(1+D141)^(-1/12)))),0)</f>
        <v>0</v>
      </c>
      <c r="L141" s="12">
        <f ca="1">IF(J141,I141*G141*F141*H141,0)</f>
        <v>0</v>
      </c>
      <c r="M141" s="12">
        <f ca="1">K141+L141</f>
        <v>0</v>
      </c>
    </row>
    <row r="142" spans="1:13">
      <c r="A142" s="10">
        <v>120</v>
      </c>
      <c r="B142" s="10">
        <f t="shared" si="2"/>
        <v>185</v>
      </c>
      <c r="C142" s="11">
        <f ca="1">OFFSET(Mort_Start,MATCH(MIN(120,B142),Mort_Age_Range,0),0)</f>
        <v>1</v>
      </c>
      <c r="D142" s="20">
        <f>IF(A142&lt;5,$B$8,IF(A142&lt;20,$B$9,$B$10))</f>
        <v>5.5E-2</v>
      </c>
      <c r="E142" s="3" t="b">
        <f>AND(A142&gt;=$B$15,A142&lt;$B$15+$B$12)</f>
        <v>0</v>
      </c>
      <c r="F142" s="12">
        <f ca="1">IF(A142=0,1,F141*(1-C141))</f>
        <v>0</v>
      </c>
      <c r="G142" s="12">
        <f t="shared" si="3"/>
        <v>1.6207082541434099E-3</v>
      </c>
      <c r="H142" s="12">
        <f ca="1">13/24+11/24/(1+D142)*(1-C142)</f>
        <v>0.54166666666666663</v>
      </c>
      <c r="I142" s="12">
        <f>(1+$B$14)^(A142-$B$15)</f>
        <v>1</v>
      </c>
      <c r="J142" s="3" t="b">
        <f>AND(A142&gt;=$B$15+$B$12,OR($B$13=0,A142&lt;$B$15+$B$13))</f>
        <v>1</v>
      </c>
      <c r="K142" s="12">
        <f>IF(E142,$B$16*I142*G142*IF(D142=0,1,(1-(1+D142)^-1)/(12*(1-(1+D142)^(-1/12)))),0)</f>
        <v>0</v>
      </c>
      <c r="L142" s="12">
        <f ca="1">IF(J142,I142*G142*F142*H142,0)</f>
        <v>0</v>
      </c>
      <c r="M142" s="12">
        <f ca="1">K142+L142</f>
        <v>0</v>
      </c>
    </row>
  </sheetData>
  <mergeCells count="17">
    <mergeCell ref="C19:M19"/>
    <mergeCell ref="C13:M13"/>
    <mergeCell ref="C14:M14"/>
    <mergeCell ref="C15:M15"/>
    <mergeCell ref="C16:M16"/>
    <mergeCell ref="C17:M17"/>
    <mergeCell ref="C18:M18"/>
    <mergeCell ref="C11:M11"/>
    <mergeCell ref="C12:M12"/>
    <mergeCell ref="C6:M6"/>
    <mergeCell ref="C7:M7"/>
    <mergeCell ref="C8:M8"/>
    <mergeCell ref="C9:M9"/>
    <mergeCell ref="C10:M10"/>
    <mergeCell ref="A1:M1"/>
    <mergeCell ref="B3:M3"/>
    <mergeCell ref="B4:M4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A5948-E2B1-4A1E-805B-FB29ED8359BD}">
  <dimension ref="A1:B122"/>
  <sheetViews>
    <sheetView workbookViewId="0">
      <pane ySplit="1" topLeftCell="A2" activePane="bottomLeft" state="frozen"/>
      <selection pane="bottomLeft" activeCell="A2" sqref="A2"/>
    </sheetView>
  </sheetViews>
  <sheetFormatPr defaultRowHeight="15"/>
  <sheetData>
    <row r="1" spans="1:2">
      <c r="A1" s="15" t="s">
        <v>41</v>
      </c>
      <c r="B1" s="15"/>
    </row>
    <row r="2" spans="1:2">
      <c r="A2" s="2">
        <v>0</v>
      </c>
      <c r="B2" s="14">
        <v>3.2599999999999999E-3</v>
      </c>
    </row>
    <row r="3" spans="1:2">
      <c r="A3" s="2">
        <f>A2+1</f>
        <v>1</v>
      </c>
      <c r="B3" s="14">
        <v>2.3000000000000001E-4</v>
      </c>
    </row>
    <row r="4" spans="1:2">
      <c r="A4" s="2">
        <f>A3+1</f>
        <v>2</v>
      </c>
      <c r="B4" s="14">
        <v>1.4999999999999999E-4</v>
      </c>
    </row>
    <row r="5" spans="1:2">
      <c r="A5" s="2">
        <f>A4+1</f>
        <v>3</v>
      </c>
      <c r="B5" s="14">
        <v>1.1E-4</v>
      </c>
    </row>
    <row r="6" spans="1:2">
      <c r="A6" s="2">
        <f>A5+1</f>
        <v>4</v>
      </c>
      <c r="B6" s="14">
        <v>9.0000000000000006E-5</v>
      </c>
    </row>
    <row r="7" spans="1:2">
      <c r="A7" s="2">
        <f>A6+1</f>
        <v>5</v>
      </c>
      <c r="B7" s="14">
        <v>8.0000000000000007E-5</v>
      </c>
    </row>
    <row r="8" spans="1:2">
      <c r="A8" s="2">
        <f>A7+1</f>
        <v>6</v>
      </c>
      <c r="B8" s="14">
        <v>6.9999999999999994E-5</v>
      </c>
    </row>
    <row r="9" spans="1:2">
      <c r="A9" s="2">
        <f>A8+1</f>
        <v>7</v>
      </c>
      <c r="B9" s="14">
        <v>6.9999999999999994E-5</v>
      </c>
    </row>
    <row r="10" spans="1:2">
      <c r="A10" s="2">
        <f>A9+1</f>
        <v>8</v>
      </c>
      <c r="B10" s="14">
        <v>6.0000000000000002E-5</v>
      </c>
    </row>
    <row r="11" spans="1:2">
      <c r="A11" s="2">
        <f>A10+1</f>
        <v>9</v>
      </c>
      <c r="B11" s="14">
        <v>5.0000000000000002E-5</v>
      </c>
    </row>
    <row r="12" spans="1:2">
      <c r="A12" s="2">
        <f>A11+1</f>
        <v>10</v>
      </c>
      <c r="B12" s="14">
        <v>5.0000000000000002E-5</v>
      </c>
    </row>
    <row r="13" spans="1:2">
      <c r="A13" s="2">
        <f>A12+1</f>
        <v>11</v>
      </c>
      <c r="B13" s="14">
        <v>5.0000000000000002E-5</v>
      </c>
    </row>
    <row r="14" spans="1:2">
      <c r="A14" s="2">
        <f>A13+1</f>
        <v>12</v>
      </c>
      <c r="B14" s="14">
        <v>6.9999999999999994E-5</v>
      </c>
    </row>
    <row r="15" spans="1:2">
      <c r="A15" s="2">
        <f>A14+1</f>
        <v>13</v>
      </c>
      <c r="B15" s="14">
        <v>9.0000000000000006E-5</v>
      </c>
    </row>
    <row r="16" spans="1:2">
      <c r="A16" s="2">
        <f>A15+1</f>
        <v>14</v>
      </c>
      <c r="B16" s="14">
        <v>1.1E-4</v>
      </c>
    </row>
    <row r="17" spans="1:2">
      <c r="A17" s="2">
        <f>A16+1</f>
        <v>15</v>
      </c>
      <c r="B17" s="14">
        <v>1.2999999999999999E-4</v>
      </c>
    </row>
    <row r="18" spans="1:2">
      <c r="A18" s="2">
        <f>A17+1</f>
        <v>16</v>
      </c>
      <c r="B18" s="14">
        <v>1.4999999999999999E-4</v>
      </c>
    </row>
    <row r="19" spans="1:2">
      <c r="A19" s="2">
        <f>A18+1</f>
        <v>17</v>
      </c>
      <c r="B19" s="14">
        <v>1.7000000000000001E-4</v>
      </c>
    </row>
    <row r="20" spans="1:2">
      <c r="A20" s="2">
        <f>A19+1</f>
        <v>18</v>
      </c>
      <c r="B20" s="14">
        <v>2.0000000000000001E-4</v>
      </c>
    </row>
    <row r="21" spans="1:2">
      <c r="A21" s="2">
        <f>A20+1</f>
        <v>19</v>
      </c>
      <c r="B21" s="14">
        <v>2.2000000000000001E-4</v>
      </c>
    </row>
    <row r="22" spans="1:2">
      <c r="A22" s="2">
        <f>A21+1</f>
        <v>20</v>
      </c>
      <c r="B22" s="14">
        <v>2.3000000000000001E-4</v>
      </c>
    </row>
    <row r="23" spans="1:2">
      <c r="A23" s="2">
        <f>A22+1</f>
        <v>21</v>
      </c>
      <c r="B23" s="14">
        <v>2.3000000000000001E-4</v>
      </c>
    </row>
    <row r="24" spans="1:2">
      <c r="A24" s="2">
        <f>A23+1</f>
        <v>22</v>
      </c>
      <c r="B24" s="14">
        <v>2.4000000000000001E-4</v>
      </c>
    </row>
    <row r="25" spans="1:2">
      <c r="A25" s="2">
        <f>A24+1</f>
        <v>23</v>
      </c>
      <c r="B25" s="14">
        <v>2.5000000000000001E-4</v>
      </c>
    </row>
    <row r="26" spans="1:2">
      <c r="A26" s="2">
        <f>A25+1</f>
        <v>24</v>
      </c>
      <c r="B26" s="14">
        <v>2.5999999999999998E-4</v>
      </c>
    </row>
    <row r="27" spans="1:2">
      <c r="A27" s="2">
        <f>A26+1</f>
        <v>25</v>
      </c>
      <c r="B27" s="14">
        <v>2.7E-4</v>
      </c>
    </row>
    <row r="28" spans="1:2">
      <c r="A28" s="2">
        <f>A27+1</f>
        <v>26</v>
      </c>
      <c r="B28" s="14">
        <v>2.7E-4</v>
      </c>
    </row>
    <row r="29" spans="1:2">
      <c r="A29" s="2">
        <f>A28+1</f>
        <v>27</v>
      </c>
      <c r="B29" s="14">
        <v>2.9E-4</v>
      </c>
    </row>
    <row r="30" spans="1:2">
      <c r="A30" s="2">
        <f>A29+1</f>
        <v>28</v>
      </c>
      <c r="B30" s="14">
        <v>2.9999999999999997E-4</v>
      </c>
    </row>
    <row r="31" spans="1:2">
      <c r="A31" s="2">
        <f>A30+1</f>
        <v>29</v>
      </c>
      <c r="B31" s="14">
        <v>3.1E-4</v>
      </c>
    </row>
    <row r="32" spans="1:2">
      <c r="A32" s="2">
        <f>A31+1</f>
        <v>30</v>
      </c>
      <c r="B32" s="14">
        <v>3.3E-4</v>
      </c>
    </row>
    <row r="33" spans="1:2">
      <c r="A33" s="2">
        <f>A32+1</f>
        <v>31</v>
      </c>
      <c r="B33" s="14">
        <v>3.5E-4</v>
      </c>
    </row>
    <row r="34" spans="1:2">
      <c r="A34" s="2">
        <f>A33+1</f>
        <v>32</v>
      </c>
      <c r="B34" s="14">
        <v>3.6000000000000002E-4</v>
      </c>
    </row>
    <row r="35" spans="1:2">
      <c r="A35" s="2">
        <f>A34+1</f>
        <v>33</v>
      </c>
      <c r="B35" s="14">
        <v>4.0000000000000002E-4</v>
      </c>
    </row>
    <row r="36" spans="1:2">
      <c r="A36" s="2">
        <f>A35+1</f>
        <v>34</v>
      </c>
      <c r="B36" s="14">
        <v>4.0999999999999999E-4</v>
      </c>
    </row>
    <row r="37" spans="1:2">
      <c r="A37" s="2">
        <f>A36+1</f>
        <v>35</v>
      </c>
      <c r="B37" s="14">
        <v>4.4000000000000002E-4</v>
      </c>
    </row>
    <row r="38" spans="1:2">
      <c r="A38" s="2">
        <f>A37+1</f>
        <v>36</v>
      </c>
      <c r="B38" s="14">
        <v>4.6000000000000001E-4</v>
      </c>
    </row>
    <row r="39" spans="1:2">
      <c r="A39" s="2">
        <f>A38+1</f>
        <v>37</v>
      </c>
      <c r="B39" s="14">
        <v>4.8999999999999998E-4</v>
      </c>
    </row>
    <row r="40" spans="1:2">
      <c r="A40" s="2">
        <f>A39+1</f>
        <v>38</v>
      </c>
      <c r="B40" s="14">
        <v>5.1000000000000004E-4</v>
      </c>
    </row>
    <row r="41" spans="1:2">
      <c r="A41" s="2">
        <f>A40+1</f>
        <v>39</v>
      </c>
      <c r="B41" s="14">
        <v>5.2999999999999998E-4</v>
      </c>
    </row>
    <row r="42" spans="1:2">
      <c r="A42" s="2">
        <f>A41+1</f>
        <v>40</v>
      </c>
      <c r="B42" s="14">
        <v>5.5000000000000003E-4</v>
      </c>
    </row>
    <row r="43" spans="1:2">
      <c r="A43" s="2">
        <f>A42+1</f>
        <v>41</v>
      </c>
      <c r="B43" s="14">
        <v>5.5999999999999995E-4</v>
      </c>
    </row>
    <row r="44" spans="1:2">
      <c r="A44" s="2">
        <f>A43+1</f>
        <v>42</v>
      </c>
      <c r="B44" s="14">
        <v>5.8E-4</v>
      </c>
    </row>
    <row r="45" spans="1:2">
      <c r="A45" s="2">
        <f>A44+1</f>
        <v>43</v>
      </c>
      <c r="B45" s="14">
        <v>5.9999999999999995E-4</v>
      </c>
    </row>
    <row r="46" spans="1:2">
      <c r="A46" s="2">
        <f>A45+1</f>
        <v>44</v>
      </c>
      <c r="B46" s="14">
        <v>6.3000000000000003E-4</v>
      </c>
    </row>
    <row r="47" spans="1:2">
      <c r="A47" s="2">
        <f>A46+1</f>
        <v>45</v>
      </c>
      <c r="B47" s="14">
        <v>6.4999999999999997E-4</v>
      </c>
    </row>
    <row r="48" spans="1:2">
      <c r="A48" s="2">
        <f>A47+1</f>
        <v>46</v>
      </c>
      <c r="B48" s="14">
        <v>6.8999999999999997E-4</v>
      </c>
    </row>
    <row r="49" spans="1:2">
      <c r="A49" s="2">
        <f>A48+1</f>
        <v>47</v>
      </c>
      <c r="B49" s="14">
        <v>7.2999999999999996E-4</v>
      </c>
    </row>
    <row r="50" spans="1:2">
      <c r="A50" s="2">
        <f>A49+1</f>
        <v>48</v>
      </c>
      <c r="B50" s="14">
        <v>7.6999999999999996E-4</v>
      </c>
    </row>
    <row r="51" spans="1:2">
      <c r="A51" s="2">
        <f>A50+1</f>
        <v>49</v>
      </c>
      <c r="B51" s="14">
        <v>8.3000000000000001E-4</v>
      </c>
    </row>
    <row r="52" spans="1:2">
      <c r="A52" s="2">
        <f>A51+1</f>
        <v>50</v>
      </c>
      <c r="B52" s="14">
        <v>8.9999999999999998E-4</v>
      </c>
    </row>
    <row r="53" spans="1:2">
      <c r="A53" s="2">
        <f>A52+1</f>
        <v>51</v>
      </c>
      <c r="B53" s="14">
        <v>1E-3</v>
      </c>
    </row>
    <row r="54" spans="1:2">
      <c r="A54" s="2">
        <f>A53+1</f>
        <v>52</v>
      </c>
      <c r="B54" s="14">
        <v>1.1199999999999999E-3</v>
      </c>
    </row>
    <row r="55" spans="1:2">
      <c r="A55" s="2">
        <f>A54+1</f>
        <v>53</v>
      </c>
      <c r="B55" s="14">
        <v>1.25E-3</v>
      </c>
    </row>
    <row r="56" spans="1:2">
      <c r="A56" s="2">
        <f>A55+1</f>
        <v>54</v>
      </c>
      <c r="B56" s="14">
        <v>1.42E-3</v>
      </c>
    </row>
    <row r="57" spans="1:2">
      <c r="A57" s="2">
        <f>A56+1</f>
        <v>55</v>
      </c>
      <c r="B57" s="14">
        <v>1.6999999999999999E-3</v>
      </c>
    </row>
    <row r="58" spans="1:2">
      <c r="A58" s="2">
        <f>A57+1</f>
        <v>56</v>
      </c>
      <c r="B58" s="14">
        <v>2.0799999999999998E-3</v>
      </c>
    </row>
    <row r="59" spans="1:2">
      <c r="A59" s="2">
        <f>A58+1</f>
        <v>57</v>
      </c>
      <c r="B59" s="14">
        <v>2.4199999999999998E-3</v>
      </c>
    </row>
    <row r="60" spans="1:2">
      <c r="A60" s="2">
        <f>A59+1</f>
        <v>58</v>
      </c>
      <c r="B60" s="14">
        <v>2.81E-3</v>
      </c>
    </row>
    <row r="61" spans="1:2">
      <c r="A61" s="2">
        <f>A60+1</f>
        <v>59</v>
      </c>
      <c r="B61" s="14">
        <v>3.2200000000000002E-3</v>
      </c>
    </row>
    <row r="62" spans="1:2">
      <c r="A62" s="2">
        <f>A61+1</f>
        <v>60</v>
      </c>
      <c r="B62" s="14">
        <v>3.7299999999999998E-3</v>
      </c>
    </row>
    <row r="63" spans="1:2">
      <c r="A63" s="2">
        <f>A62+1</f>
        <v>61</v>
      </c>
      <c r="B63" s="14">
        <v>4.2700000000000004E-3</v>
      </c>
    </row>
    <row r="64" spans="1:2">
      <c r="A64" s="2">
        <f>A63+1</f>
        <v>62</v>
      </c>
      <c r="B64" s="14">
        <v>5.0400000000000002E-3</v>
      </c>
    </row>
    <row r="65" spans="1:2">
      <c r="A65" s="2">
        <f>A64+1</f>
        <v>63</v>
      </c>
      <c r="B65" s="14">
        <v>5.8199999999999997E-3</v>
      </c>
    </row>
    <row r="66" spans="1:2">
      <c r="A66" s="2">
        <f>A65+1</f>
        <v>64</v>
      </c>
      <c r="B66" s="14">
        <v>6.45E-3</v>
      </c>
    </row>
    <row r="67" spans="1:2">
      <c r="A67" s="2">
        <f>A66+1</f>
        <v>65</v>
      </c>
      <c r="B67" s="14">
        <v>7.2899999999999996E-3</v>
      </c>
    </row>
    <row r="68" spans="1:2">
      <c r="A68" s="2">
        <f>A67+1</f>
        <v>66</v>
      </c>
      <c r="B68" s="14">
        <v>8.1899999999999994E-3</v>
      </c>
    </row>
    <row r="69" spans="1:2">
      <c r="A69" s="2">
        <f>A68+1</f>
        <v>67</v>
      </c>
      <c r="B69" s="14">
        <v>9.0600000000000003E-3</v>
      </c>
    </row>
    <row r="70" spans="1:2">
      <c r="A70" s="2">
        <f>A69+1</f>
        <v>68</v>
      </c>
      <c r="B70" s="14">
        <v>1.001E-2</v>
      </c>
    </row>
    <row r="71" spans="1:2">
      <c r="A71" s="2">
        <f>A70+1</f>
        <v>69</v>
      </c>
      <c r="B71" s="14">
        <v>1.108E-2</v>
      </c>
    </row>
    <row r="72" spans="1:2">
      <c r="A72" s="2">
        <f>A71+1</f>
        <v>70</v>
      </c>
      <c r="B72" s="14">
        <v>1.2319999999999999E-2</v>
      </c>
    </row>
    <row r="73" spans="1:2">
      <c r="A73" s="2">
        <f>A72+1</f>
        <v>71</v>
      </c>
      <c r="B73" s="14">
        <v>1.374E-2</v>
      </c>
    </row>
    <row r="74" spans="1:2">
      <c r="A74" s="2">
        <f>A73+1</f>
        <v>72</v>
      </c>
      <c r="B74" s="14">
        <v>1.5350000000000001E-2</v>
      </c>
    </row>
    <row r="75" spans="1:2">
      <c r="A75" s="2">
        <f>A74+1</f>
        <v>73</v>
      </c>
      <c r="B75" s="14">
        <v>1.7170000000000001E-2</v>
      </c>
    </row>
    <row r="76" spans="1:2">
      <c r="A76" s="2">
        <f>A75+1</f>
        <v>74</v>
      </c>
      <c r="B76" s="14">
        <v>1.9279999999999999E-2</v>
      </c>
    </row>
    <row r="77" spans="1:2">
      <c r="A77" s="2">
        <f>A76+1</f>
        <v>75</v>
      </c>
      <c r="B77" s="14">
        <v>2.1700000000000001E-2</v>
      </c>
    </row>
    <row r="78" spans="1:2">
      <c r="A78" s="2">
        <f>A77+1</f>
        <v>76</v>
      </c>
      <c r="B78" s="14">
        <v>2.4469999999999999E-2</v>
      </c>
    </row>
    <row r="79" spans="1:2">
      <c r="A79" s="2">
        <f>A78+1</f>
        <v>77</v>
      </c>
      <c r="B79" s="14">
        <v>2.7609999999999999E-2</v>
      </c>
    </row>
    <row r="80" spans="1:2">
      <c r="A80" s="2">
        <f>A79+1</f>
        <v>78</v>
      </c>
      <c r="B80" s="14">
        <v>3.1199999999999999E-2</v>
      </c>
    </row>
    <row r="81" spans="1:2">
      <c r="A81" s="2">
        <f>A80+1</f>
        <v>79</v>
      </c>
      <c r="B81" s="14">
        <v>3.5279999999999999E-2</v>
      </c>
    </row>
    <row r="82" spans="1:2">
      <c r="A82" s="2">
        <f>A81+1</f>
        <v>80</v>
      </c>
      <c r="B82" s="14">
        <v>4.0149999999999998E-2</v>
      </c>
    </row>
    <row r="83" spans="1:2">
      <c r="A83" s="2">
        <f>A82+1</f>
        <v>81</v>
      </c>
      <c r="B83" s="14">
        <v>4.512E-2</v>
      </c>
    </row>
    <row r="84" spans="1:2">
      <c r="A84" s="2">
        <f>A83+1</f>
        <v>82</v>
      </c>
      <c r="B84" s="14">
        <v>5.0700000000000002E-2</v>
      </c>
    </row>
    <row r="85" spans="1:2">
      <c r="A85" s="2">
        <f>A84+1</f>
        <v>83</v>
      </c>
      <c r="B85" s="14">
        <v>5.697E-2</v>
      </c>
    </row>
    <row r="86" spans="1:2">
      <c r="A86" s="2">
        <f>A85+1</f>
        <v>84</v>
      </c>
      <c r="B86" s="14">
        <v>6.4070000000000002E-2</v>
      </c>
    </row>
    <row r="87" spans="1:2">
      <c r="A87" s="2">
        <f>A86+1</f>
        <v>85</v>
      </c>
      <c r="B87" s="14">
        <v>7.2160000000000002E-2</v>
      </c>
    </row>
    <row r="88" spans="1:2">
      <c r="A88" s="2">
        <f>A87+1</f>
        <v>86</v>
      </c>
      <c r="B88" s="14">
        <v>8.1390000000000004E-2</v>
      </c>
    </row>
    <row r="89" spans="1:2">
      <c r="A89" s="2">
        <f>A88+1</f>
        <v>87</v>
      </c>
      <c r="B89" s="14">
        <v>9.1819999999999999E-2</v>
      </c>
    </row>
    <row r="90" spans="1:2">
      <c r="A90" s="2">
        <f>A89+1</f>
        <v>88</v>
      </c>
      <c r="B90" s="14">
        <v>0.10363</v>
      </c>
    </row>
    <row r="91" spans="1:2">
      <c r="A91" s="2">
        <f>A90+1</f>
        <v>89</v>
      </c>
      <c r="B91" s="14">
        <v>0.11672</v>
      </c>
    </row>
    <row r="92" spans="1:2">
      <c r="A92" s="2">
        <f>A91+1</f>
        <v>90</v>
      </c>
      <c r="B92" s="14">
        <v>0.13111999999999999</v>
      </c>
    </row>
    <row r="93" spans="1:2">
      <c r="A93" s="2">
        <f>A92+1</f>
        <v>91</v>
      </c>
      <c r="B93" s="14">
        <v>0.14616999999999999</v>
      </c>
    </row>
    <row r="94" spans="1:2">
      <c r="A94" s="2">
        <f>A93+1</f>
        <v>92</v>
      </c>
      <c r="B94" s="14">
        <v>0.16170000000000001</v>
      </c>
    </row>
    <row r="95" spans="1:2">
      <c r="A95" s="2">
        <f>A94+1</f>
        <v>93</v>
      </c>
      <c r="B95" s="14">
        <v>0.17766999999999999</v>
      </c>
    </row>
    <row r="96" spans="1:2">
      <c r="A96" s="2">
        <f>A95+1</f>
        <v>94</v>
      </c>
      <c r="B96" s="14">
        <v>0.19383</v>
      </c>
    </row>
    <row r="97" spans="1:2">
      <c r="A97" s="2">
        <f>A96+1</f>
        <v>95</v>
      </c>
      <c r="B97" s="14">
        <v>0.21015</v>
      </c>
    </row>
    <row r="98" spans="1:2">
      <c r="A98" s="2">
        <f>A97+1</f>
        <v>96</v>
      </c>
      <c r="B98" s="14">
        <v>0.22749</v>
      </c>
    </row>
    <row r="99" spans="1:2">
      <c r="A99" s="2">
        <f>A98+1</f>
        <v>97</v>
      </c>
      <c r="B99" s="14">
        <v>0.24529000000000001</v>
      </c>
    </row>
    <row r="100" spans="1:2">
      <c r="A100" s="2">
        <f>A99+1</f>
        <v>98</v>
      </c>
      <c r="B100" s="14">
        <v>0.26362999999999998</v>
      </c>
    </row>
    <row r="101" spans="1:2">
      <c r="A101" s="2">
        <f>A100+1</f>
        <v>99</v>
      </c>
      <c r="B101" s="14">
        <v>0.28251999999999999</v>
      </c>
    </row>
    <row r="102" spans="1:2">
      <c r="A102" s="2">
        <f>A101+1</f>
        <v>100</v>
      </c>
      <c r="B102" s="14">
        <v>0.30177999999999999</v>
      </c>
    </row>
    <row r="103" spans="1:2">
      <c r="A103" s="2">
        <f>A102+1</f>
        <v>101</v>
      </c>
      <c r="B103" s="14">
        <v>0.32124999999999998</v>
      </c>
    </row>
    <row r="104" spans="1:2">
      <c r="A104" s="2">
        <f>A103+1</f>
        <v>102</v>
      </c>
      <c r="B104" s="14">
        <v>0.34060000000000001</v>
      </c>
    </row>
    <row r="105" spans="1:2">
      <c r="A105" s="2">
        <f>A104+1</f>
        <v>103</v>
      </c>
      <c r="B105" s="14">
        <v>0.35976999999999998</v>
      </c>
    </row>
    <row r="106" spans="1:2">
      <c r="A106" s="2">
        <f>A105+1</f>
        <v>104</v>
      </c>
      <c r="B106" s="14">
        <v>0.37872</v>
      </c>
    </row>
    <row r="107" spans="1:2">
      <c r="A107" s="2">
        <f>A106+1</f>
        <v>105</v>
      </c>
      <c r="B107" s="14">
        <v>0.39715</v>
      </c>
    </row>
    <row r="108" spans="1:2">
      <c r="A108" s="2">
        <f>A107+1</f>
        <v>106</v>
      </c>
      <c r="B108" s="14">
        <v>0.41511999999999999</v>
      </c>
    </row>
    <row r="109" spans="1:2">
      <c r="A109" s="2">
        <f>A108+1</f>
        <v>107</v>
      </c>
      <c r="B109" s="14">
        <v>0.43240000000000001</v>
      </c>
    </row>
    <row r="110" spans="1:2">
      <c r="A110" s="2">
        <f>A109+1</f>
        <v>108</v>
      </c>
      <c r="B110" s="14">
        <v>0.44895000000000002</v>
      </c>
    </row>
    <row r="111" spans="1:2">
      <c r="A111" s="2">
        <f>A110+1</f>
        <v>109</v>
      </c>
      <c r="B111" s="14">
        <v>0.46478999999999998</v>
      </c>
    </row>
    <row r="112" spans="1:2">
      <c r="A112" s="2">
        <f>A111+1</f>
        <v>110</v>
      </c>
      <c r="B112" s="14">
        <v>0.47744999999999999</v>
      </c>
    </row>
    <row r="113" spans="1:2">
      <c r="A113" s="2">
        <f>A112+1</f>
        <v>111</v>
      </c>
      <c r="B113" s="14">
        <v>0.48570999999999998</v>
      </c>
    </row>
    <row r="114" spans="1:2">
      <c r="A114" s="2">
        <f>A113+1</f>
        <v>112</v>
      </c>
      <c r="B114" s="14">
        <v>0.49352000000000001</v>
      </c>
    </row>
    <row r="115" spans="1:2">
      <c r="A115" s="2">
        <f>A114+1</f>
        <v>113</v>
      </c>
      <c r="B115" s="14">
        <v>0.49724000000000002</v>
      </c>
    </row>
    <row r="116" spans="1:2">
      <c r="A116" s="2">
        <f>A115+1</f>
        <v>114</v>
      </c>
      <c r="B116" s="14">
        <v>0.49840000000000001</v>
      </c>
    </row>
    <row r="117" spans="1:2">
      <c r="A117" s="2">
        <f>A116+1</f>
        <v>115</v>
      </c>
      <c r="B117" s="14">
        <v>0.49952999999999997</v>
      </c>
    </row>
    <row r="118" spans="1:2">
      <c r="A118" s="2">
        <f>A117+1</f>
        <v>116</v>
      </c>
      <c r="B118" s="14">
        <v>0.49975000000000003</v>
      </c>
    </row>
    <row r="119" spans="1:2">
      <c r="A119" s="2">
        <f>A118+1</f>
        <v>117</v>
      </c>
      <c r="B119" s="14">
        <v>0.49987999999999999</v>
      </c>
    </row>
    <row r="120" spans="1:2">
      <c r="A120" s="2">
        <f>A119+1</f>
        <v>118</v>
      </c>
      <c r="B120" s="14">
        <v>0.49995000000000001</v>
      </c>
    </row>
    <row r="121" spans="1:2">
      <c r="A121" s="2">
        <f>A120+1</f>
        <v>119</v>
      </c>
      <c r="B121" s="14">
        <v>0.5</v>
      </c>
    </row>
    <row r="122" spans="1:2">
      <c r="A122" s="2">
        <f>A121+1</f>
        <v>120</v>
      </c>
      <c r="B122" s="14">
        <v>1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Single Life</vt:lpstr>
      <vt:lpstr>Mortality</vt:lpstr>
      <vt:lpstr>Mort_Age_Range</vt:lpstr>
      <vt:lpstr>Mort_Start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Young</dc:creator>
  <cp:lastModifiedBy>John Young</cp:lastModifiedBy>
  <dcterms:created xsi:type="dcterms:W3CDTF">2026-06-21T02:41:17Z</dcterms:created>
  <dcterms:modified xsi:type="dcterms:W3CDTF">2026-06-26T12:48:43Z</dcterms:modified>
</cp:coreProperties>
</file>