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wyo\Documents\"/>
    </mc:Choice>
  </mc:AlternateContent>
  <xr:revisionPtr revIDLastSave="0" documentId="13_ncr:1_{48E73FF1-C19C-453E-BBEB-3888D3A9C78C}" xr6:coauthVersionLast="47" xr6:coauthVersionMax="47" xr10:uidLastSave="{00000000-0000-0000-0000-000000000000}"/>
  <bookViews>
    <workbookView xWindow="-120" yWindow="-120" windowWidth="38640" windowHeight="21120" xr2:uid="{9773D52C-58D5-47AB-9656-2A0880421FD5}"/>
  </bookViews>
  <sheets>
    <sheet name="Single Life" sheetId="2" r:id="rId1"/>
    <sheet name="Mortality" sheetId="3" r:id="rId2"/>
  </sheets>
  <definedNames>
    <definedName name="Mort_Age_Range">Mortality!$A$3:$A$123</definedName>
    <definedName name="Mort_Start">Mortality!$B$1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D142" i="2"/>
  <c r="B142" i="2"/>
  <c r="D141" i="2"/>
  <c r="G141" i="2" s="1"/>
  <c r="B141" i="2"/>
  <c r="D140" i="2"/>
  <c r="B140" i="2"/>
  <c r="D139" i="2"/>
  <c r="G139" i="2" s="1"/>
  <c r="B139" i="2"/>
  <c r="D138" i="2"/>
  <c r="B138" i="2"/>
  <c r="D137" i="2"/>
  <c r="G137" i="2" s="1"/>
  <c r="B137" i="2"/>
  <c r="D136" i="2"/>
  <c r="B136" i="2"/>
  <c r="D135" i="2"/>
  <c r="G135" i="2" s="1"/>
  <c r="B135" i="2"/>
  <c r="D134" i="2"/>
  <c r="B134" i="2"/>
  <c r="D133" i="2"/>
  <c r="G133" i="2" s="1"/>
  <c r="B133" i="2"/>
  <c r="D132" i="2"/>
  <c r="B132" i="2"/>
  <c r="D131" i="2"/>
  <c r="G131" i="2" s="1"/>
  <c r="B131" i="2"/>
  <c r="D130" i="2"/>
  <c r="B130" i="2"/>
  <c r="D129" i="2"/>
  <c r="G129" i="2" s="1"/>
  <c r="B129" i="2"/>
  <c r="D128" i="2"/>
  <c r="B128" i="2"/>
  <c r="D127" i="2"/>
  <c r="G127" i="2" s="1"/>
  <c r="B127" i="2"/>
  <c r="D126" i="2"/>
  <c r="G126" i="2" s="1"/>
  <c r="B126" i="2"/>
  <c r="D125" i="2"/>
  <c r="G125" i="2" s="1"/>
  <c r="B125" i="2"/>
  <c r="D124" i="2"/>
  <c r="G124" i="2" s="1"/>
  <c r="B124" i="2"/>
  <c r="D123" i="2"/>
  <c r="G123" i="2" s="1"/>
  <c r="B123" i="2"/>
  <c r="D122" i="2"/>
  <c r="G122" i="2" s="1"/>
  <c r="B122" i="2"/>
  <c r="D121" i="2"/>
  <c r="G121" i="2" s="1"/>
  <c r="B121" i="2"/>
  <c r="D120" i="2"/>
  <c r="B120" i="2"/>
  <c r="D119" i="2"/>
  <c r="G119" i="2" s="1"/>
  <c r="B119" i="2"/>
  <c r="D118" i="2"/>
  <c r="G118" i="2" s="1"/>
  <c r="B118" i="2"/>
  <c r="D117" i="2"/>
  <c r="G117" i="2" s="1"/>
  <c r="B117" i="2"/>
  <c r="D116" i="2"/>
  <c r="G116" i="2" s="1"/>
  <c r="B116" i="2"/>
  <c r="D115" i="2"/>
  <c r="G115" i="2" s="1"/>
  <c r="B115" i="2"/>
  <c r="D114" i="2"/>
  <c r="G114" i="2" s="1"/>
  <c r="B114" i="2"/>
  <c r="D113" i="2"/>
  <c r="B113" i="2"/>
  <c r="D112" i="2"/>
  <c r="G112" i="2" s="1"/>
  <c r="B112" i="2"/>
  <c r="D111" i="2"/>
  <c r="G111" i="2" s="1"/>
  <c r="B111" i="2"/>
  <c r="D110" i="2"/>
  <c r="G110" i="2" s="1"/>
  <c r="B110" i="2"/>
  <c r="D109" i="2"/>
  <c r="G109" i="2" s="1"/>
  <c r="B109" i="2"/>
  <c r="D108" i="2"/>
  <c r="G108" i="2" s="1"/>
  <c r="B108" i="2"/>
  <c r="D107" i="2"/>
  <c r="G107" i="2" s="1"/>
  <c r="B107" i="2"/>
  <c r="D106" i="2"/>
  <c r="G106" i="2" s="1"/>
  <c r="B106" i="2"/>
  <c r="D105" i="2"/>
  <c r="B105" i="2"/>
  <c r="D104" i="2"/>
  <c r="G104" i="2" s="1"/>
  <c r="B104" i="2"/>
  <c r="D103" i="2"/>
  <c r="G103" i="2" s="1"/>
  <c r="B103" i="2"/>
  <c r="D102" i="2"/>
  <c r="G102" i="2" s="1"/>
  <c r="B102" i="2"/>
  <c r="D101" i="2"/>
  <c r="G101" i="2" s="1"/>
  <c r="B101" i="2"/>
  <c r="D100" i="2"/>
  <c r="G100" i="2" s="1"/>
  <c r="B100" i="2"/>
  <c r="D99" i="2"/>
  <c r="G99" i="2" s="1"/>
  <c r="B99" i="2"/>
  <c r="D98" i="2"/>
  <c r="G98" i="2" s="1"/>
  <c r="B98" i="2"/>
  <c r="D97" i="2"/>
  <c r="G97" i="2" s="1"/>
  <c r="B97" i="2"/>
  <c r="D96" i="2"/>
  <c r="B96" i="2"/>
  <c r="D95" i="2"/>
  <c r="G95" i="2" s="1"/>
  <c r="B95" i="2"/>
  <c r="D94" i="2"/>
  <c r="G94" i="2" s="1"/>
  <c r="B94" i="2"/>
  <c r="D93" i="2"/>
  <c r="B93" i="2"/>
  <c r="D92" i="2"/>
  <c r="G92" i="2" s="1"/>
  <c r="B92" i="2"/>
  <c r="D91" i="2"/>
  <c r="G91" i="2" s="1"/>
  <c r="B91" i="2"/>
  <c r="D90" i="2"/>
  <c r="G90" i="2" s="1"/>
  <c r="B90" i="2"/>
  <c r="D89" i="2"/>
  <c r="G89" i="2" s="1"/>
  <c r="B89" i="2"/>
  <c r="D88" i="2"/>
  <c r="G88" i="2" s="1"/>
  <c r="B88" i="2"/>
  <c r="D87" i="2"/>
  <c r="G87" i="2" s="1"/>
  <c r="B87" i="2"/>
  <c r="D86" i="2"/>
  <c r="G86" i="2" s="1"/>
  <c r="B86" i="2"/>
  <c r="D85" i="2"/>
  <c r="G85" i="2" s="1"/>
  <c r="B85" i="2"/>
  <c r="D84" i="2"/>
  <c r="G84" i="2" s="1"/>
  <c r="B84" i="2"/>
  <c r="D83" i="2"/>
  <c r="G83" i="2" s="1"/>
  <c r="B83" i="2"/>
  <c r="D82" i="2"/>
  <c r="G82" i="2" s="1"/>
  <c r="B82" i="2"/>
  <c r="D81" i="2"/>
  <c r="G81" i="2" s="1"/>
  <c r="B81" i="2"/>
  <c r="D80" i="2"/>
  <c r="G80" i="2" s="1"/>
  <c r="B80" i="2"/>
  <c r="D79" i="2"/>
  <c r="G79" i="2" s="1"/>
  <c r="B79" i="2"/>
  <c r="D78" i="2"/>
  <c r="G78" i="2" s="1"/>
  <c r="B78" i="2"/>
  <c r="D77" i="2"/>
  <c r="B77" i="2"/>
  <c r="D76" i="2"/>
  <c r="B76" i="2"/>
  <c r="D75" i="2"/>
  <c r="G75" i="2" s="1"/>
  <c r="B75" i="2"/>
  <c r="D74" i="2"/>
  <c r="G74" i="2" s="1"/>
  <c r="B74" i="2"/>
  <c r="D73" i="2"/>
  <c r="G73" i="2" s="1"/>
  <c r="B73" i="2"/>
  <c r="D72" i="2"/>
  <c r="B72" i="2"/>
  <c r="D71" i="2"/>
  <c r="G71" i="2" s="1"/>
  <c r="B71" i="2"/>
  <c r="D70" i="2"/>
  <c r="G70" i="2" s="1"/>
  <c r="B70" i="2"/>
  <c r="D69" i="2"/>
  <c r="G69" i="2" s="1"/>
  <c r="B69" i="2"/>
  <c r="D68" i="2"/>
  <c r="G68" i="2" s="1"/>
  <c r="B68" i="2"/>
  <c r="D67" i="2"/>
  <c r="G67" i="2" s="1"/>
  <c r="B67" i="2"/>
  <c r="D66" i="2"/>
  <c r="G66" i="2" s="1"/>
  <c r="B66" i="2"/>
  <c r="D65" i="2"/>
  <c r="G65" i="2" s="1"/>
  <c r="B65" i="2"/>
  <c r="D64" i="2"/>
  <c r="B64" i="2"/>
  <c r="D63" i="2"/>
  <c r="G63" i="2" s="1"/>
  <c r="B63" i="2"/>
  <c r="C63" i="2" s="1"/>
  <c r="D62" i="2"/>
  <c r="G62" i="2" s="1"/>
  <c r="B62" i="2"/>
  <c r="D61" i="2"/>
  <c r="G61" i="2" s="1"/>
  <c r="B61" i="2"/>
  <c r="D60" i="2"/>
  <c r="B60" i="2"/>
  <c r="D59" i="2"/>
  <c r="G59" i="2" s="1"/>
  <c r="B59" i="2"/>
  <c r="D58" i="2"/>
  <c r="G58" i="2" s="1"/>
  <c r="B58" i="2"/>
  <c r="D57" i="2"/>
  <c r="G57" i="2" s="1"/>
  <c r="B57" i="2"/>
  <c r="D56" i="2"/>
  <c r="G56" i="2" s="1"/>
  <c r="B56" i="2"/>
  <c r="D55" i="2"/>
  <c r="G55" i="2" s="1"/>
  <c r="B55" i="2"/>
  <c r="C55" i="2" s="1"/>
  <c r="D54" i="2"/>
  <c r="G54" i="2" s="1"/>
  <c r="B54" i="2"/>
  <c r="D53" i="2"/>
  <c r="G53" i="2" s="1"/>
  <c r="B53" i="2"/>
  <c r="D52" i="2"/>
  <c r="G52" i="2" s="1"/>
  <c r="B52" i="2"/>
  <c r="D51" i="2"/>
  <c r="G51" i="2" s="1"/>
  <c r="B51" i="2"/>
  <c r="D50" i="2"/>
  <c r="G50" i="2" s="1"/>
  <c r="B50" i="2"/>
  <c r="D49" i="2"/>
  <c r="G49" i="2" s="1"/>
  <c r="B49" i="2"/>
  <c r="D48" i="2"/>
  <c r="B48" i="2"/>
  <c r="D47" i="2"/>
  <c r="G47" i="2" s="1"/>
  <c r="B47" i="2"/>
  <c r="D46" i="2"/>
  <c r="G46" i="2" s="1"/>
  <c r="B46" i="2"/>
  <c r="D45" i="2"/>
  <c r="G45" i="2" s="1"/>
  <c r="B45" i="2"/>
  <c r="D44" i="2"/>
  <c r="G44" i="2" s="1"/>
  <c r="B44" i="2"/>
  <c r="D43" i="2"/>
  <c r="G43" i="2" s="1"/>
  <c r="B43" i="2"/>
  <c r="D42" i="2"/>
  <c r="G42" i="2" s="1"/>
  <c r="B42" i="2"/>
  <c r="D41" i="2"/>
  <c r="B41" i="2"/>
  <c r="D40" i="2"/>
  <c r="G40" i="2" s="1"/>
  <c r="B40" i="2"/>
  <c r="D39" i="2"/>
  <c r="G39" i="2" s="1"/>
  <c r="B39" i="2"/>
  <c r="D38" i="2"/>
  <c r="G38" i="2" s="1"/>
  <c r="B38" i="2"/>
  <c r="D37" i="2"/>
  <c r="G37" i="2" s="1"/>
  <c r="B37" i="2"/>
  <c r="D36" i="2"/>
  <c r="G36" i="2" s="1"/>
  <c r="B36" i="2"/>
  <c r="D35" i="2"/>
  <c r="G35" i="2" s="1"/>
  <c r="B35" i="2"/>
  <c r="D34" i="2"/>
  <c r="G34" i="2" s="1"/>
  <c r="B34" i="2"/>
  <c r="D33" i="2"/>
  <c r="G33" i="2" s="1"/>
  <c r="B33" i="2"/>
  <c r="D32" i="2"/>
  <c r="B32" i="2"/>
  <c r="D31" i="2"/>
  <c r="G31" i="2" s="1"/>
  <c r="B31" i="2"/>
  <c r="C31" i="2" s="1"/>
  <c r="D30" i="2"/>
  <c r="G30" i="2" s="1"/>
  <c r="B30" i="2"/>
  <c r="C30" i="2" s="1"/>
  <c r="D29" i="2"/>
  <c r="B29" i="2"/>
  <c r="C29" i="2" s="1"/>
  <c r="G28" i="2"/>
  <c r="B28" i="2"/>
  <c r="D27" i="2"/>
  <c r="G27" i="2" s="1"/>
  <c r="B27" i="2"/>
  <c r="D26" i="2"/>
  <c r="G26" i="2" s="1"/>
  <c r="B26" i="2"/>
  <c r="D25" i="2"/>
  <c r="B25" i="2"/>
  <c r="D24" i="2"/>
  <c r="G24" i="2" s="1"/>
  <c r="B24" i="2"/>
  <c r="D23" i="2"/>
  <c r="G23" i="2" s="1"/>
  <c r="B23" i="2"/>
  <c r="C23" i="2" s="1"/>
  <c r="F22" i="2"/>
  <c r="D22" i="2"/>
  <c r="G22" i="2" s="1"/>
  <c r="B22" i="2"/>
  <c r="B15" i="2"/>
  <c r="E124" i="2" s="1"/>
  <c r="K124" i="2" s="1"/>
  <c r="C60" i="2" l="1"/>
  <c r="C79" i="2"/>
  <c r="C119" i="2"/>
  <c r="H119" i="2" s="1"/>
  <c r="C32" i="2"/>
  <c r="C96" i="2"/>
  <c r="C128" i="2"/>
  <c r="H128" i="2" s="1"/>
  <c r="C28" i="2"/>
  <c r="C100" i="2"/>
  <c r="H100" i="2" s="1"/>
  <c r="C99" i="2"/>
  <c r="H99" i="2" s="1"/>
  <c r="C130" i="2"/>
  <c r="H130" i="2" s="1"/>
  <c r="C98" i="2"/>
  <c r="H98" i="2" s="1"/>
  <c r="C58" i="2"/>
  <c r="H58" i="2" s="1"/>
  <c r="C27" i="2"/>
  <c r="H27" i="2" s="1"/>
  <c r="C43" i="2"/>
  <c r="H43" i="2" s="1"/>
  <c r="C59" i="2"/>
  <c r="H59" i="2" s="1"/>
  <c r="C75" i="2"/>
  <c r="H75" i="2" s="1"/>
  <c r="C91" i="2"/>
  <c r="H91" i="2" s="1"/>
  <c r="C107" i="2"/>
  <c r="H107" i="2" s="1"/>
  <c r="C123" i="2"/>
  <c r="H123" i="2" s="1"/>
  <c r="C139" i="2"/>
  <c r="C129" i="2"/>
  <c r="H129" i="2" s="1"/>
  <c r="C92" i="2"/>
  <c r="C56" i="2"/>
  <c r="H56" i="2" s="1"/>
  <c r="C39" i="2"/>
  <c r="C111" i="2"/>
  <c r="H111" i="2" s="1"/>
  <c r="C80" i="2"/>
  <c r="H80" i="2" s="1"/>
  <c r="C72" i="2"/>
  <c r="H72" i="2" s="1"/>
  <c r="C131" i="2"/>
  <c r="H131" i="2" s="1"/>
  <c r="C90" i="2"/>
  <c r="H90" i="2" s="1"/>
  <c r="C122" i="2"/>
  <c r="H122" i="2" s="1"/>
  <c r="C89" i="2"/>
  <c r="H89" i="2" s="1"/>
  <c r="C51" i="2"/>
  <c r="H51" i="2" s="1"/>
  <c r="C47" i="2"/>
  <c r="H47" i="2" s="1"/>
  <c r="C103" i="2"/>
  <c r="H103" i="2" s="1"/>
  <c r="C64" i="2"/>
  <c r="H64" i="2" s="1"/>
  <c r="C138" i="2"/>
  <c r="C132" i="2"/>
  <c r="H132" i="2" s="1"/>
  <c r="C124" i="2"/>
  <c r="H124" i="2" s="1"/>
  <c r="C52" i="2"/>
  <c r="H52" i="2" s="1"/>
  <c r="C121" i="2"/>
  <c r="H121" i="2" s="1"/>
  <c r="C88" i="2"/>
  <c r="H88" i="2" s="1"/>
  <c r="C50" i="2"/>
  <c r="H50" i="2" s="1"/>
  <c r="C45" i="2"/>
  <c r="H45" i="2" s="1"/>
  <c r="C69" i="2"/>
  <c r="H69" i="2" s="1"/>
  <c r="C85" i="2"/>
  <c r="H85" i="2" s="1"/>
  <c r="C101" i="2"/>
  <c r="H101" i="2" s="1"/>
  <c r="C117" i="2"/>
  <c r="H117" i="2" s="1"/>
  <c r="C141" i="2"/>
  <c r="H141" i="2" s="1"/>
  <c r="C84" i="2"/>
  <c r="H84" i="2" s="1"/>
  <c r="C44" i="2"/>
  <c r="C37" i="2"/>
  <c r="H37" i="2" s="1"/>
  <c r="C53" i="2"/>
  <c r="H53" i="2" s="1"/>
  <c r="C61" i="2"/>
  <c r="H61" i="2" s="1"/>
  <c r="C77" i="2"/>
  <c r="H77" i="2" s="1"/>
  <c r="C93" i="2"/>
  <c r="H93" i="2" s="1"/>
  <c r="C109" i="2"/>
  <c r="H109" i="2" s="1"/>
  <c r="C125" i="2"/>
  <c r="H125" i="2" s="1"/>
  <c r="C133" i="2"/>
  <c r="H133" i="2" s="1"/>
  <c r="C120" i="2"/>
  <c r="H120" i="2" s="1"/>
  <c r="C22" i="2"/>
  <c r="F23" i="2" s="1"/>
  <c r="C116" i="2"/>
  <c r="H116" i="2" s="1"/>
  <c r="C83" i="2"/>
  <c r="H83" i="2" s="1"/>
  <c r="C42" i="2"/>
  <c r="H42" i="2" s="1"/>
  <c r="C40" i="2"/>
  <c r="H40" i="2" s="1"/>
  <c r="C38" i="2"/>
  <c r="H38" i="2" s="1"/>
  <c r="C46" i="2"/>
  <c r="H46" i="2" s="1"/>
  <c r="C54" i="2"/>
  <c r="H54" i="2" s="1"/>
  <c r="C62" i="2"/>
  <c r="C70" i="2"/>
  <c r="H70" i="2" s="1"/>
  <c r="C78" i="2"/>
  <c r="H78" i="2" s="1"/>
  <c r="C86" i="2"/>
  <c r="H86" i="2" s="1"/>
  <c r="C94" i="2"/>
  <c r="H94" i="2" s="1"/>
  <c r="C102" i="2"/>
  <c r="H102" i="2" s="1"/>
  <c r="C110" i="2"/>
  <c r="H110" i="2" s="1"/>
  <c r="C118" i="2"/>
  <c r="H118" i="2" s="1"/>
  <c r="C126" i="2"/>
  <c r="H126" i="2" s="1"/>
  <c r="C134" i="2"/>
  <c r="H134" i="2" s="1"/>
  <c r="C142" i="2"/>
  <c r="H142" i="2" s="1"/>
  <c r="C115" i="2"/>
  <c r="H115" i="2" s="1"/>
  <c r="C82" i="2"/>
  <c r="H82" i="2" s="1"/>
  <c r="C114" i="2"/>
  <c r="H114" i="2" s="1"/>
  <c r="C76" i="2"/>
  <c r="H76" i="2" s="1"/>
  <c r="C36" i="2"/>
  <c r="H36" i="2" s="1"/>
  <c r="C71" i="2"/>
  <c r="H71" i="2" s="1"/>
  <c r="C135" i="2"/>
  <c r="C35" i="2"/>
  <c r="H35" i="2" s="1"/>
  <c r="C113" i="2"/>
  <c r="H113" i="2" s="1"/>
  <c r="C74" i="2"/>
  <c r="H74" i="2" s="1"/>
  <c r="C140" i="2"/>
  <c r="H140" i="2" s="1"/>
  <c r="C108" i="2"/>
  <c r="H108" i="2" s="1"/>
  <c r="C73" i="2"/>
  <c r="H73" i="2" s="1"/>
  <c r="C34" i="2"/>
  <c r="H34" i="2" s="1"/>
  <c r="C95" i="2"/>
  <c r="H95" i="2" s="1"/>
  <c r="C48" i="2"/>
  <c r="H48" i="2" s="1"/>
  <c r="C106" i="2"/>
  <c r="H106" i="2" s="1"/>
  <c r="C137" i="2"/>
  <c r="H137" i="2" s="1"/>
  <c r="C105" i="2"/>
  <c r="H105" i="2" s="1"/>
  <c r="C68" i="2"/>
  <c r="H68" i="2" s="1"/>
  <c r="C26" i="2"/>
  <c r="H26" i="2" s="1"/>
  <c r="C87" i="2"/>
  <c r="H87" i="2" s="1"/>
  <c r="C127" i="2"/>
  <c r="C112" i="2"/>
  <c r="H112" i="2" s="1"/>
  <c r="C25" i="2"/>
  <c r="H25" i="2" s="1"/>
  <c r="C33" i="2"/>
  <c r="H33" i="2" s="1"/>
  <c r="C41" i="2"/>
  <c r="H41" i="2" s="1"/>
  <c r="C49" i="2"/>
  <c r="H49" i="2" s="1"/>
  <c r="C57" i="2"/>
  <c r="H57" i="2" s="1"/>
  <c r="C65" i="2"/>
  <c r="H65" i="2" s="1"/>
  <c r="C81" i="2"/>
  <c r="H81" i="2" s="1"/>
  <c r="C97" i="2"/>
  <c r="H97" i="2" s="1"/>
  <c r="C136" i="2"/>
  <c r="H136" i="2" s="1"/>
  <c r="C104" i="2"/>
  <c r="H104" i="2" s="1"/>
  <c r="C67" i="2"/>
  <c r="H67" i="2" s="1"/>
  <c r="C24" i="2"/>
  <c r="H24" i="2" s="1"/>
  <c r="C66" i="2"/>
  <c r="H66" i="2" s="1"/>
  <c r="B16" i="2" a="1"/>
  <c r="B16" i="2" s="1"/>
  <c r="H31" i="2"/>
  <c r="H55" i="2"/>
  <c r="H32" i="2"/>
  <c r="H135" i="2"/>
  <c r="H44" i="2"/>
  <c r="H28" i="2"/>
  <c r="H127" i="2"/>
  <c r="H60" i="2"/>
  <c r="H30" i="2"/>
  <c r="H62" i="2"/>
  <c r="H138" i="2"/>
  <c r="H139" i="2"/>
  <c r="H29" i="2"/>
  <c r="H92" i="2"/>
  <c r="H79" i="2"/>
  <c r="H96" i="2"/>
  <c r="H63" i="2"/>
  <c r="H23" i="2"/>
  <c r="E72" i="2"/>
  <c r="K72" i="2" s="1"/>
  <c r="I49" i="2"/>
  <c r="I36" i="2"/>
  <c r="J110" i="2"/>
  <c r="E45" i="2"/>
  <c r="K45" i="2" s="1"/>
  <c r="E31" i="2"/>
  <c r="K31" i="2" s="1"/>
  <c r="E136" i="2"/>
  <c r="K136" i="2" s="1"/>
  <c r="E91" i="2"/>
  <c r="K91" i="2" s="1"/>
  <c r="J54" i="2"/>
  <c r="I27" i="2"/>
  <c r="J24" i="2"/>
  <c r="E41" i="2"/>
  <c r="K41" i="2" s="1"/>
  <c r="I45" i="2"/>
  <c r="J63" i="2"/>
  <c r="E77" i="2"/>
  <c r="K77" i="2" s="1"/>
  <c r="I82" i="2"/>
  <c r="E87" i="2"/>
  <c r="K87" i="2" s="1"/>
  <c r="E95" i="2"/>
  <c r="K95" i="2" s="1"/>
  <c r="E101" i="2"/>
  <c r="K101" i="2" s="1"/>
  <c r="J136" i="2"/>
  <c r="E32" i="2"/>
  <c r="K32" i="2" s="1"/>
  <c r="E37" i="2"/>
  <c r="K37" i="2" s="1"/>
  <c r="I68" i="2"/>
  <c r="I77" i="2"/>
  <c r="J82" i="2"/>
  <c r="J87" i="2"/>
  <c r="I121" i="2"/>
  <c r="E127" i="2"/>
  <c r="K127" i="2" s="1"/>
  <c r="I141" i="2"/>
  <c r="I32" i="2"/>
  <c r="J68" i="2"/>
  <c r="I73" i="2"/>
  <c r="E92" i="2"/>
  <c r="K92" i="2" s="1"/>
  <c r="I101" i="2"/>
  <c r="J106" i="2"/>
  <c r="E111" i="2"/>
  <c r="K111" i="2" s="1"/>
  <c r="J127" i="2"/>
  <c r="E132" i="2"/>
  <c r="K132" i="2" s="1"/>
  <c r="J27" i="2"/>
  <c r="E68" i="2"/>
  <c r="K68" i="2" s="1"/>
  <c r="J42" i="2"/>
  <c r="I92" i="2"/>
  <c r="I22" i="2"/>
  <c r="E29" i="2"/>
  <c r="K29" i="2" s="1"/>
  <c r="I33" i="2"/>
  <c r="E47" i="2"/>
  <c r="K47" i="2" s="1"/>
  <c r="J56" i="2"/>
  <c r="E65" i="2"/>
  <c r="K65" i="2" s="1"/>
  <c r="I112" i="2"/>
  <c r="J123" i="2"/>
  <c r="J128" i="2"/>
  <c r="E63" i="2"/>
  <c r="K63" i="2" s="1"/>
  <c r="J59" i="2"/>
  <c r="J28" i="2"/>
  <c r="I42" i="2"/>
  <c r="E56" i="2"/>
  <c r="K56" i="2" s="1"/>
  <c r="I64" i="2"/>
  <c r="E96" i="2"/>
  <c r="K96" i="2" s="1"/>
  <c r="J132" i="2"/>
  <c r="J83" i="2"/>
  <c r="I96" i="2"/>
  <c r="E33" i="2"/>
  <c r="K33" i="2" s="1"/>
  <c r="I56" i="2"/>
  <c r="J92" i="2"/>
  <c r="E112" i="2"/>
  <c r="K112" i="2" s="1"/>
  <c r="E128" i="2"/>
  <c r="K128" i="2" s="1"/>
  <c r="J22" i="2"/>
  <c r="E26" i="2"/>
  <c r="K26" i="2" s="1"/>
  <c r="J29" i="2"/>
  <c r="J47" i="2"/>
  <c r="J52" i="2"/>
  <c r="E61" i="2"/>
  <c r="K61" i="2" s="1"/>
  <c r="E79" i="2"/>
  <c r="K79" i="2" s="1"/>
  <c r="E84" i="2"/>
  <c r="K84" i="2" s="1"/>
  <c r="E89" i="2"/>
  <c r="K89" i="2" s="1"/>
  <c r="E103" i="2"/>
  <c r="K103" i="2" s="1"/>
  <c r="E108" i="2"/>
  <c r="K108" i="2" s="1"/>
  <c r="J112" i="2"/>
  <c r="I133" i="2"/>
  <c r="E25" i="2"/>
  <c r="I37" i="2"/>
  <c r="I46" i="2"/>
  <c r="E60" i="2"/>
  <c r="K60" i="2" s="1"/>
  <c r="J25" i="2"/>
  <c r="J51" i="2"/>
  <c r="J60" i="2"/>
  <c r="I137" i="2"/>
  <c r="J74" i="2"/>
  <c r="E39" i="2"/>
  <c r="K39" i="2" s="1"/>
  <c r="I70" i="2"/>
  <c r="E75" i="2"/>
  <c r="K75" i="2" s="1"/>
  <c r="E93" i="2"/>
  <c r="K93" i="2" s="1"/>
  <c r="E119" i="2"/>
  <c r="K119" i="2" s="1"/>
  <c r="I26" i="2"/>
  <c r="E44" i="2"/>
  <c r="K44" i="2" s="1"/>
  <c r="I61" i="2"/>
  <c r="J66" i="2"/>
  <c r="J70" i="2"/>
  <c r="J75" i="2"/>
  <c r="I89" i="2"/>
  <c r="I93" i="2"/>
  <c r="I108" i="2"/>
  <c r="J119" i="2"/>
  <c r="E139" i="2"/>
  <c r="K139" i="2" s="1"/>
  <c r="E105" i="2"/>
  <c r="K105" i="2" s="1"/>
  <c r="E131" i="2"/>
  <c r="K131" i="2" s="1"/>
  <c r="E22" i="2"/>
  <c r="K22" i="2" s="1"/>
  <c r="E51" i="2"/>
  <c r="K51" i="2" s="1"/>
  <c r="I78" i="2"/>
  <c r="J26" i="2"/>
  <c r="I30" i="2"/>
  <c r="I44" i="2"/>
  <c r="I48" i="2"/>
  <c r="E53" i="2"/>
  <c r="K53" i="2" s="1"/>
  <c r="I80" i="2"/>
  <c r="J108" i="2"/>
  <c r="I129" i="2"/>
  <c r="I23" i="2"/>
  <c r="J30" i="2"/>
  <c r="J35" i="2"/>
  <c r="J44" i="2"/>
  <c r="J80" i="2"/>
  <c r="I85" i="2"/>
  <c r="J99" i="2"/>
  <c r="I104" i="2"/>
  <c r="J104" i="2"/>
  <c r="E140" i="2"/>
  <c r="K140" i="2" s="1"/>
  <c r="J23" i="2"/>
  <c r="I40" i="2"/>
  <c r="I58" i="2"/>
  <c r="I62" i="2"/>
  <c r="J67" i="2"/>
  <c r="E76" i="2"/>
  <c r="K76" i="2" s="1"/>
  <c r="J90" i="2"/>
  <c r="I94" i="2"/>
  <c r="J114" i="2"/>
  <c r="E120" i="2"/>
  <c r="K120" i="2" s="1"/>
  <c r="I125" i="2"/>
  <c r="E135" i="2"/>
  <c r="K135" i="2" s="1"/>
  <c r="J40" i="2"/>
  <c r="I54" i="2"/>
  <c r="J58" i="2"/>
  <c r="J76" i="2"/>
  <c r="J94" i="2"/>
  <c r="J120" i="2"/>
  <c r="J140" i="2"/>
  <c r="E116" i="2"/>
  <c r="K116" i="2" s="1"/>
  <c r="E123" i="2"/>
  <c r="K123" i="2" s="1"/>
  <c r="G32" i="2"/>
  <c r="G77" i="2"/>
  <c r="G96" i="2"/>
  <c r="G72" i="2"/>
  <c r="J131" i="2"/>
  <c r="J135" i="2"/>
  <c r="J139" i="2"/>
  <c r="H39" i="2"/>
  <c r="G25" i="2"/>
  <c r="G29" i="2"/>
  <c r="J32" i="2"/>
  <c r="I34" i="2"/>
  <c r="J39" i="2"/>
  <c r="G41" i="2"/>
  <c r="J46" i="2"/>
  <c r="E48" i="2"/>
  <c r="K48" i="2" s="1"/>
  <c r="G60" i="2"/>
  <c r="I65" i="2"/>
  <c r="E67" i="2"/>
  <c r="K67" i="2" s="1"/>
  <c r="E81" i="2"/>
  <c r="K81" i="2" s="1"/>
  <c r="I84" i="2"/>
  <c r="J96" i="2"/>
  <c r="I98" i="2"/>
  <c r="J103" i="2"/>
  <c r="G105" i="2"/>
  <c r="I116" i="2"/>
  <c r="J118" i="2"/>
  <c r="G120" i="2"/>
  <c r="J34" i="2"/>
  <c r="E36" i="2"/>
  <c r="K36" i="2" s="1"/>
  <c r="G48" i="2"/>
  <c r="I53" i="2"/>
  <c r="E55" i="2"/>
  <c r="K55" i="2" s="1"/>
  <c r="E69" i="2"/>
  <c r="K69" i="2" s="1"/>
  <c r="I72" i="2"/>
  <c r="J84" i="2"/>
  <c r="I86" i="2"/>
  <c r="J91" i="2"/>
  <c r="G93" i="2"/>
  <c r="J98" i="2"/>
  <c r="E100" i="2"/>
  <c r="K100" i="2" s="1"/>
  <c r="E107" i="2"/>
  <c r="K107" i="2" s="1"/>
  <c r="J116" i="2"/>
  <c r="I142" i="2"/>
  <c r="E141" i="2"/>
  <c r="K141" i="2" s="1"/>
  <c r="I138" i="2"/>
  <c r="E137" i="2"/>
  <c r="K137" i="2" s="1"/>
  <c r="I134" i="2"/>
  <c r="E133" i="2"/>
  <c r="K133" i="2" s="1"/>
  <c r="I130" i="2"/>
  <c r="E129" i="2"/>
  <c r="K129" i="2" s="1"/>
  <c r="I126" i="2"/>
  <c r="E125" i="2"/>
  <c r="K125" i="2" s="1"/>
  <c r="I122" i="2"/>
  <c r="E121" i="2"/>
  <c r="K121" i="2" s="1"/>
  <c r="I118" i="2"/>
  <c r="E117" i="2"/>
  <c r="K117" i="2" s="1"/>
  <c r="I114" i="2"/>
  <c r="E113" i="2"/>
  <c r="K113" i="2" s="1"/>
  <c r="I110" i="2"/>
  <c r="E109" i="2"/>
  <c r="K109" i="2" s="1"/>
  <c r="I106" i="2"/>
  <c r="E142" i="2"/>
  <c r="K142" i="2" s="1"/>
  <c r="I139" i="2"/>
  <c r="E138" i="2"/>
  <c r="K138" i="2" s="1"/>
  <c r="I135" i="2"/>
  <c r="E134" i="2"/>
  <c r="K134" i="2" s="1"/>
  <c r="I131" i="2"/>
  <c r="E130" i="2"/>
  <c r="K130" i="2" s="1"/>
  <c r="I127" i="2"/>
  <c r="E126" i="2"/>
  <c r="K126" i="2" s="1"/>
  <c r="I123" i="2"/>
  <c r="E122" i="2"/>
  <c r="K122" i="2" s="1"/>
  <c r="I119" i="2"/>
  <c r="E118" i="2"/>
  <c r="K118" i="2" s="1"/>
  <c r="I115" i="2"/>
  <c r="E114" i="2"/>
  <c r="K114" i="2" s="1"/>
  <c r="I111" i="2"/>
  <c r="E110" i="2"/>
  <c r="K110" i="2" s="1"/>
  <c r="I107" i="2"/>
  <c r="E106" i="2"/>
  <c r="K106" i="2" s="1"/>
  <c r="I103" i="2"/>
  <c r="E102" i="2"/>
  <c r="K102" i="2" s="1"/>
  <c r="I99" i="2"/>
  <c r="E98" i="2"/>
  <c r="K98" i="2" s="1"/>
  <c r="I95" i="2"/>
  <c r="E94" i="2"/>
  <c r="K94" i="2" s="1"/>
  <c r="I91" i="2"/>
  <c r="E90" i="2"/>
  <c r="K90" i="2" s="1"/>
  <c r="I87" i="2"/>
  <c r="E86" i="2"/>
  <c r="K86" i="2" s="1"/>
  <c r="I83" i="2"/>
  <c r="E82" i="2"/>
  <c r="K82" i="2" s="1"/>
  <c r="I79" i="2"/>
  <c r="E78" i="2"/>
  <c r="K78" i="2" s="1"/>
  <c r="I75" i="2"/>
  <c r="E74" i="2"/>
  <c r="K74" i="2" s="1"/>
  <c r="I71" i="2"/>
  <c r="E70" i="2"/>
  <c r="K70" i="2" s="1"/>
  <c r="I67" i="2"/>
  <c r="E66" i="2"/>
  <c r="K66" i="2" s="1"/>
  <c r="I63" i="2"/>
  <c r="E62" i="2"/>
  <c r="K62" i="2" s="1"/>
  <c r="I59" i="2"/>
  <c r="E58" i="2"/>
  <c r="K58" i="2" s="1"/>
  <c r="I55" i="2"/>
  <c r="E54" i="2"/>
  <c r="K54" i="2" s="1"/>
  <c r="I51" i="2"/>
  <c r="E50" i="2"/>
  <c r="K50" i="2" s="1"/>
  <c r="I47" i="2"/>
  <c r="E46" i="2"/>
  <c r="K46" i="2" s="1"/>
  <c r="I43" i="2"/>
  <c r="E42" i="2"/>
  <c r="K42" i="2" s="1"/>
  <c r="I39" i="2"/>
  <c r="E38" i="2"/>
  <c r="K38" i="2" s="1"/>
  <c r="I35" i="2"/>
  <c r="E34" i="2"/>
  <c r="K34" i="2" s="1"/>
  <c r="I31" i="2"/>
  <c r="E30" i="2"/>
  <c r="K30" i="2" s="1"/>
  <c r="J141" i="2"/>
  <c r="J137" i="2"/>
  <c r="J133" i="2"/>
  <c r="J129" i="2"/>
  <c r="J125" i="2"/>
  <c r="J121" i="2"/>
  <c r="J117" i="2"/>
  <c r="J113" i="2"/>
  <c r="J109" i="2"/>
  <c r="J105" i="2"/>
  <c r="J101" i="2"/>
  <c r="J97" i="2"/>
  <c r="J93" i="2"/>
  <c r="J89" i="2"/>
  <c r="J85" i="2"/>
  <c r="J81" i="2"/>
  <c r="J77" i="2"/>
  <c r="J73" i="2"/>
  <c r="J69" i="2"/>
  <c r="J65" i="2"/>
  <c r="J61" i="2"/>
  <c r="J57" i="2"/>
  <c r="J53" i="2"/>
  <c r="J49" i="2"/>
  <c r="J45" i="2"/>
  <c r="J41" i="2"/>
  <c r="J37" i="2"/>
  <c r="J33" i="2"/>
  <c r="E24" i="2"/>
  <c r="I25" i="2"/>
  <c r="E28" i="2"/>
  <c r="K28" i="2" s="1"/>
  <c r="I29" i="2"/>
  <c r="I41" i="2"/>
  <c r="E43" i="2"/>
  <c r="K43" i="2" s="1"/>
  <c r="E57" i="2"/>
  <c r="K57" i="2" s="1"/>
  <c r="I60" i="2"/>
  <c r="J72" i="2"/>
  <c r="I74" i="2"/>
  <c r="J79" i="2"/>
  <c r="J86" i="2"/>
  <c r="E88" i="2"/>
  <c r="K88" i="2" s="1"/>
  <c r="I105" i="2"/>
  <c r="I120" i="2"/>
  <c r="J122" i="2"/>
  <c r="G130" i="2"/>
  <c r="G134" i="2"/>
  <c r="G138" i="2"/>
  <c r="G142" i="2"/>
  <c r="J48" i="2"/>
  <c r="I50" i="2"/>
  <c r="J55" i="2"/>
  <c r="J62" i="2"/>
  <c r="E64" i="2"/>
  <c r="K64" i="2" s="1"/>
  <c r="G76" i="2"/>
  <c r="I81" i="2"/>
  <c r="E83" i="2"/>
  <c r="K83" i="2" s="1"/>
  <c r="E97" i="2"/>
  <c r="K97" i="2" s="1"/>
  <c r="I100" i="2"/>
  <c r="J107" i="2"/>
  <c r="I109" i="2"/>
  <c r="G113" i="2"/>
  <c r="I124" i="2"/>
  <c r="J126" i="2"/>
  <c r="G128" i="2"/>
  <c r="G132" i="2"/>
  <c r="G136" i="2"/>
  <c r="G140" i="2"/>
  <c r="J36" i="2"/>
  <c r="I38" i="2"/>
  <c r="J43" i="2"/>
  <c r="J50" i="2"/>
  <c r="E52" i="2"/>
  <c r="K52" i="2" s="1"/>
  <c r="G64" i="2"/>
  <c r="I69" i="2"/>
  <c r="E71" i="2"/>
  <c r="K71" i="2" s="1"/>
  <c r="E85" i="2"/>
  <c r="K85" i="2" s="1"/>
  <c r="I88" i="2"/>
  <c r="J100" i="2"/>
  <c r="I102" i="2"/>
  <c r="E115" i="2"/>
  <c r="K115" i="2" s="1"/>
  <c r="J124" i="2"/>
  <c r="J130" i="2"/>
  <c r="J134" i="2"/>
  <c r="J138" i="2"/>
  <c r="J142" i="2"/>
  <c r="E23" i="2"/>
  <c r="K23" i="2" s="1"/>
  <c r="I24" i="2"/>
  <c r="E27" i="2"/>
  <c r="K27" i="2" s="1"/>
  <c r="I28" i="2"/>
  <c r="J31" i="2"/>
  <c r="J38" i="2"/>
  <c r="E40" i="2"/>
  <c r="K40" i="2" s="1"/>
  <c r="I57" i="2"/>
  <c r="E59" i="2"/>
  <c r="K59" i="2" s="1"/>
  <c r="E73" i="2"/>
  <c r="K73" i="2" s="1"/>
  <c r="I76" i="2"/>
  <c r="J88" i="2"/>
  <c r="I90" i="2"/>
  <c r="J95" i="2"/>
  <c r="J102" i="2"/>
  <c r="E104" i="2"/>
  <c r="K104" i="2" s="1"/>
  <c r="J111" i="2"/>
  <c r="I113" i="2"/>
  <c r="I128" i="2"/>
  <c r="I132" i="2"/>
  <c r="I136" i="2"/>
  <c r="I140" i="2"/>
  <c r="E35" i="2"/>
  <c r="K35" i="2" s="1"/>
  <c r="E49" i="2"/>
  <c r="K49" i="2" s="1"/>
  <c r="I52" i="2"/>
  <c r="J64" i="2"/>
  <c r="I66" i="2"/>
  <c r="J71" i="2"/>
  <c r="J78" i="2"/>
  <c r="E80" i="2"/>
  <c r="K80" i="2" s="1"/>
  <c r="I97" i="2"/>
  <c r="E99" i="2"/>
  <c r="K99" i="2" s="1"/>
  <c r="J115" i="2"/>
  <c r="I117" i="2"/>
  <c r="F24" i="2" l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L142" i="2" s="1"/>
  <c r="M142" i="2" s="1"/>
  <c r="H22" i="2"/>
  <c r="L22" i="2" s="1"/>
  <c r="M22" i="2" s="1"/>
  <c r="K25" i="2"/>
  <c r="K24" i="2"/>
  <c r="L23" i="2"/>
  <c r="M23" i="2" s="1"/>
  <c r="B17" i="2" l="1"/>
  <c r="L27" i="2"/>
  <c r="M27" i="2" s="1"/>
  <c r="L32" i="2"/>
  <c r="M32" i="2" s="1"/>
  <c r="L30" i="2"/>
  <c r="M30" i="2" s="1"/>
  <c r="L31" i="2"/>
  <c r="M31" i="2" s="1"/>
  <c r="L28" i="2"/>
  <c r="M28" i="2" s="1"/>
  <c r="L26" i="2"/>
  <c r="M26" i="2" s="1"/>
  <c r="L24" i="2"/>
  <c r="M24" i="2" s="1"/>
  <c r="L33" i="2"/>
  <c r="M33" i="2" s="1"/>
  <c r="L34" i="2"/>
  <c r="M34" i="2" s="1"/>
  <c r="L29" i="2"/>
  <c r="M29" i="2" s="1"/>
  <c r="L25" i="2"/>
  <c r="M25" i="2" s="1"/>
  <c r="L38" i="2"/>
  <c r="M38" i="2" s="1"/>
  <c r="L46" i="2"/>
  <c r="M46" i="2" s="1"/>
  <c r="L133" i="2"/>
  <c r="M133" i="2" s="1"/>
  <c r="L69" i="2"/>
  <c r="M69" i="2" s="1"/>
  <c r="L75" i="2"/>
  <c r="M75" i="2" s="1"/>
  <c r="L89" i="2"/>
  <c r="M89" i="2" s="1"/>
  <c r="L43" i="2"/>
  <c r="M43" i="2" s="1"/>
  <c r="L97" i="2"/>
  <c r="M97" i="2" s="1"/>
  <c r="L45" i="2"/>
  <c r="M45" i="2" s="1"/>
  <c r="L104" i="2"/>
  <c r="M104" i="2" s="1"/>
  <c r="L55" i="2"/>
  <c r="M55" i="2" s="1"/>
  <c r="L71" i="2"/>
  <c r="M71" i="2" s="1"/>
  <c r="L54" i="2"/>
  <c r="M54" i="2" s="1"/>
  <c r="L76" i="2"/>
  <c r="M76" i="2" s="1"/>
  <c r="L139" i="2"/>
  <c r="M139" i="2" s="1"/>
  <c r="L65" i="2"/>
  <c r="M65" i="2" s="1"/>
  <c r="L66" i="2"/>
  <c r="M66" i="2" s="1"/>
  <c r="L86" i="2"/>
  <c r="M86" i="2" s="1"/>
  <c r="L114" i="2"/>
  <c r="M114" i="2" s="1"/>
  <c r="L62" i="2"/>
  <c r="M62" i="2" s="1"/>
  <c r="L91" i="2"/>
  <c r="M91" i="2" s="1"/>
  <c r="L50" i="2"/>
  <c r="M50" i="2" s="1"/>
  <c r="L40" i="2"/>
  <c r="M40" i="2" s="1"/>
  <c r="L119" i="2"/>
  <c r="M119" i="2" s="1"/>
  <c r="L108" i="2"/>
  <c r="M108" i="2" s="1"/>
  <c r="L42" i="2"/>
  <c r="M42" i="2" s="1"/>
  <c r="L98" i="2"/>
  <c r="M98" i="2" s="1"/>
  <c r="L59" i="2"/>
  <c r="M59" i="2" s="1"/>
  <c r="L35" i="2"/>
  <c r="M35" i="2" s="1"/>
  <c r="L37" i="2"/>
  <c r="M37" i="2" s="1"/>
  <c r="L115" i="2"/>
  <c r="M115" i="2" s="1"/>
  <c r="L80" i="2"/>
  <c r="M80" i="2" s="1"/>
  <c r="L41" i="2"/>
  <c r="M41" i="2" s="1"/>
  <c r="L61" i="2"/>
  <c r="M61" i="2" s="1"/>
  <c r="L90" i="2"/>
  <c r="M90" i="2" s="1"/>
  <c r="L68" i="2"/>
  <c r="M68" i="2" s="1"/>
  <c r="L36" i="2"/>
  <c r="M36" i="2" s="1"/>
  <c r="L112" i="2"/>
  <c r="M112" i="2" s="1"/>
  <c r="L94" i="2"/>
  <c r="M94" i="2" s="1"/>
  <c r="L95" i="2"/>
  <c r="M95" i="2" s="1"/>
  <c r="L77" i="2"/>
  <c r="M77" i="2" s="1"/>
  <c r="L58" i="2"/>
  <c r="M58" i="2" s="1"/>
  <c r="L101" i="2"/>
  <c r="M101" i="2" s="1"/>
  <c r="L47" i="2"/>
  <c r="M47" i="2" s="1"/>
  <c r="L88" i="2"/>
  <c r="M88" i="2" s="1"/>
  <c r="L64" i="2"/>
  <c r="M64" i="2" s="1"/>
  <c r="L82" i="2"/>
  <c r="M82" i="2" s="1"/>
  <c r="L110" i="2"/>
  <c r="M110" i="2" s="1"/>
  <c r="L81" i="2"/>
  <c r="M81" i="2" s="1"/>
  <c r="L39" i="2"/>
  <c r="M39" i="2" s="1"/>
  <c r="L106" i="2"/>
  <c r="M106" i="2" s="1"/>
  <c r="L51" i="2"/>
  <c r="M51" i="2" s="1"/>
  <c r="L85" i="2"/>
  <c r="M85" i="2" s="1"/>
  <c r="L72" i="2"/>
  <c r="M72" i="2" s="1"/>
  <c r="L52" i="2"/>
  <c r="M52" i="2" s="1"/>
  <c r="L92" i="2"/>
  <c r="M92" i="2" s="1"/>
  <c r="L84" i="2"/>
  <c r="M84" i="2" s="1"/>
  <c r="L44" i="2"/>
  <c r="M44" i="2" s="1"/>
  <c r="L56" i="2"/>
  <c r="M56" i="2" s="1"/>
  <c r="L73" i="2"/>
  <c r="M73" i="2" s="1"/>
  <c r="L117" i="2"/>
  <c r="M117" i="2" s="1"/>
  <c r="L93" i="2"/>
  <c r="M93" i="2" s="1"/>
  <c r="L63" i="2"/>
  <c r="M63" i="2" s="1"/>
  <c r="L130" i="2"/>
  <c r="M130" i="2" s="1"/>
  <c r="L53" i="2"/>
  <c r="M53" i="2" s="1"/>
  <c r="L48" i="2"/>
  <c r="M48" i="2" s="1"/>
  <c r="L121" i="2"/>
  <c r="M121" i="2" s="1"/>
  <c r="L105" i="2"/>
  <c r="M105" i="2" s="1"/>
  <c r="L140" i="2"/>
  <c r="M140" i="2" s="1"/>
  <c r="L141" i="2"/>
  <c r="M141" i="2" s="1"/>
  <c r="L128" i="2"/>
  <c r="M128" i="2" s="1"/>
  <c r="L132" i="2"/>
  <c r="M132" i="2" s="1"/>
  <c r="L124" i="2"/>
  <c r="M124" i="2" s="1"/>
  <c r="L100" i="2"/>
  <c r="M100" i="2" s="1"/>
  <c r="L129" i="2"/>
  <c r="M129" i="2" s="1"/>
  <c r="L138" i="2"/>
  <c r="M138" i="2" s="1"/>
  <c r="L74" i="2"/>
  <c r="M74" i="2" s="1"/>
  <c r="L109" i="2"/>
  <c r="M109" i="2" s="1"/>
  <c r="L99" i="2"/>
  <c r="M99" i="2" s="1"/>
  <c r="L136" i="2"/>
  <c r="M136" i="2" s="1"/>
  <c r="L134" i="2"/>
  <c r="M134" i="2" s="1"/>
  <c r="L79" i="2"/>
  <c r="M79" i="2" s="1"/>
  <c r="L57" i="2"/>
  <c r="M57" i="2" s="1"/>
  <c r="L78" i="2"/>
  <c r="M78" i="2" s="1"/>
  <c r="L96" i="2"/>
  <c r="M96" i="2" s="1"/>
  <c r="L118" i="2"/>
  <c r="M118" i="2" s="1"/>
  <c r="L103" i="2"/>
  <c r="M103" i="2" s="1"/>
  <c r="L113" i="2"/>
  <c r="M113" i="2" s="1"/>
  <c r="L67" i="2"/>
  <c r="M67" i="2" s="1"/>
  <c r="L137" i="2"/>
  <c r="M137" i="2" s="1"/>
  <c r="L70" i="2"/>
  <c r="M70" i="2" s="1"/>
  <c r="L49" i="2"/>
  <c r="M49" i="2" s="1"/>
  <c r="L102" i="2"/>
  <c r="M102" i="2" s="1"/>
  <c r="L131" i="2"/>
  <c r="M131" i="2" s="1"/>
  <c r="L60" i="2"/>
  <c r="M60" i="2" s="1"/>
  <c r="L83" i="2"/>
  <c r="M83" i="2" s="1"/>
  <c r="L135" i="2"/>
  <c r="M135" i="2" s="1"/>
  <c r="L127" i="2"/>
  <c r="M127" i="2" s="1"/>
  <c r="L125" i="2"/>
  <c r="M125" i="2" s="1"/>
  <c r="L116" i="2"/>
  <c r="M116" i="2" s="1"/>
  <c r="L87" i="2"/>
  <c r="M87" i="2" s="1"/>
  <c r="L120" i="2"/>
  <c r="M120" i="2" s="1"/>
  <c r="L126" i="2"/>
  <c r="M126" i="2" s="1"/>
  <c r="L123" i="2"/>
  <c r="M123" i="2" s="1"/>
  <c r="L107" i="2"/>
  <c r="M107" i="2" s="1"/>
  <c r="L111" i="2"/>
  <c r="M111" i="2" s="1"/>
  <c r="L122" i="2"/>
  <c r="M122" i="2" s="1"/>
  <c r="B18" i="2" l="1"/>
  <c r="B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<sst xmlns="http://schemas.openxmlformats.org/spreadsheetml/2006/main" count="54" uniqueCount="54">
  <si>
    <t>Single Life Annuity Factor — stepwise construction</t>
  </si>
  <si>
    <t>Purpose</t>
  </si>
  <si>
    <t>Convention</t>
  </si>
  <si>
    <t>Input</t>
  </si>
  <si>
    <t>Value</t>
  </si>
  <si>
    <t>Description</t>
  </si>
  <si>
    <t>Annual benefit increase after deferral.</t>
  </si>
  <si>
    <t>Applied to durations 0–4.</t>
  </si>
  <si>
    <t>Applied to durations 5–19.</t>
  </si>
  <si>
    <t>Applied to durations 20+.</t>
  </si>
  <si>
    <t>Delay</t>
  </si>
  <si>
    <t>Probability of surviving through the deferral period.</t>
  </si>
  <si>
    <t>t</t>
  </si>
  <si>
    <t>q_x</t>
  </si>
  <si>
    <t>Current Age</t>
  </si>
  <si>
    <t>Age at calculation/commencement basis; fractional ages omitted.</t>
  </si>
  <si>
    <t>Guaranteed years paid after deferral.</t>
  </si>
  <si>
    <t>Mortality</t>
  </si>
  <si>
    <t>Input Key</t>
  </si>
  <si>
    <t>Optional</t>
  </si>
  <si>
    <t>Required</t>
  </si>
  <si>
    <t>Calculated</t>
  </si>
  <si>
    <t>Discount</t>
  </si>
  <si>
    <t xml:space="preserve">Certain </t>
  </si>
  <si>
    <t xml:space="preserve">Life </t>
  </si>
  <si>
    <t>Total</t>
  </si>
  <si>
    <t>If below Current Age, this has no impact on develompent</t>
  </si>
  <si>
    <t>Deferral Age</t>
  </si>
  <si>
    <t>Segment Rate 1</t>
  </si>
  <si>
    <t>Segment Rate 2</t>
  </si>
  <si>
    <t>Segment Rate 3</t>
  </si>
  <si>
    <t>Certain Period</t>
  </si>
  <si>
    <t>Temporary Period</t>
  </si>
  <si>
    <t>COLA % Increase</t>
  </si>
  <si>
    <t>Survival to Deferral</t>
  </si>
  <si>
    <t>Certain Ann Factor</t>
  </si>
  <si>
    <t>Life Ann Factor</t>
  </si>
  <si>
    <t>Total Ann Factor</t>
  </si>
  <si>
    <t>Certain Period Annuity Factor component</t>
  </si>
  <si>
    <t>Single Life Annuity Factor component</t>
  </si>
  <si>
    <t>Combined Annuity Factor</t>
  </si>
  <si>
    <t>MAX(Deferral Age − Current Age, 0).</t>
  </si>
  <si>
    <t>0 = whole life; otherwise stops payments Certain + Temporary Period.</t>
  </si>
  <si>
    <t>Attained Age</t>
  </si>
  <si>
    <t>Spot Rate</t>
  </si>
  <si>
    <t>In certain Period?</t>
  </si>
  <si>
    <t>Survival to Start</t>
  </si>
  <si>
    <t>Payment Timing adj.</t>
  </si>
  <si>
    <t>COLA Multiplier</t>
  </si>
  <si>
    <t>Life Pay Flag</t>
  </si>
  <si>
    <t>Age</t>
  </si>
  <si>
    <t>qx</t>
  </si>
  <si>
    <t>Calculates a single-life annuity factor using annual mortality; segmented interest rates; and optional certain period, temporary period, and COLA. The logic mirrors the standard annuity factor development used in real world benefit administration.</t>
  </si>
  <si>
    <t>Payments are approximated using the actuarial standard term: 13/24 + 11/24 × v × (1 − q). Can be the base for a Joint and Life and more complicated forms including accelerated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</si>
</sst>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0000"/>
    <numFmt numFmtId="166" formatCode="0.000000"/>
    <numFmt numFmtId="167" formatCode="0.00000"/>
    <numFmt numFmtId="168" formatCode="0.0000"/>
  </numFmts>
  <fonts count="6">
    <font>
      <sz val="11"/>
      <color theme="1"/>
      <name val="Calibri"/>
      <family val="2"/>
      <scheme val="minor"/>
    </font>
    <font>
      <sz val="11"/>
      <name val="Carlito"/>
    </font>
    <font>
      <b/>
      <sz val="10"/>
      <color rgb="FFFFFFFF"/>
      <name val="Aptos"/>
      <family val="2"/>
    </font>
    <font>
      <b/>
      <sz val="11"/>
      <name val="Carlito"/>
    </font>
    <font>
      <i/>
      <sz val="11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0" fontId="1" fillId="6" borderId="0" xfId="1" applyFill="1" applyAlignment="1">
      <alignment horizontal="right" wrapText="1"/>
    </xf>
    <xf numFmtId="164" fontId="1" fillId="6" borderId="0" xfId="1" applyNumberFormat="1" applyFill="1" applyAlignment="1">
      <alignment horizontal="right" wrapText="1"/>
    </xf>
    <xf numFmtId="165" fontId="3" fillId="7" borderId="0" xfId="1" applyNumberFormat="1" applyFont="1" applyFill="1" applyAlignment="1">
      <alignment horizontal="right" wrapText="1"/>
    </xf>
    <xf numFmtId="1" fontId="1" fillId="0" borderId="0" xfId="1" applyNumberFormat="1" applyAlignment="1">
      <alignment wrapText="1"/>
    </xf>
    <xf numFmtId="166" fontId="1" fillId="0" borderId="0" xfId="1" applyNumberFormat="1" applyAlignment="1">
      <alignment wrapText="1"/>
    </xf>
    <xf numFmtId="165" fontId="1" fillId="0" borderId="0" xfId="1" applyNumberFormat="1" applyAlignment="1">
      <alignment wrapText="1"/>
    </xf>
    <xf numFmtId="0" fontId="1" fillId="8" borderId="0" xfId="1" applyFill="1" applyAlignment="1">
      <alignment horizontal="right" wrapText="1"/>
    </xf>
    <xf numFmtId="167" fontId="1" fillId="8" borderId="0" xfId="1" applyNumberFormat="1" applyFill="1" applyAlignment="1">
      <alignment horizontal="right" wrapText="1"/>
    </xf>
    <xf numFmtId="167" fontId="1" fillId="0" borderId="0" xfId="1" applyNumberFormat="1" applyAlignment="1">
      <alignment horizontal="center" wrapText="1"/>
    </xf>
    <xf numFmtId="165" fontId="1" fillId="7" borderId="0" xfId="1" applyNumberFormat="1" applyFill="1" applyAlignment="1">
      <alignment horizontal="right" wrapText="1"/>
    </xf>
    <xf numFmtId="10" fontId="1" fillId="8" borderId="0" xfId="1" applyNumberFormat="1" applyFill="1" applyAlignment="1">
      <alignment horizontal="right" wrapText="1"/>
    </xf>
    <xf numFmtId="168" fontId="1" fillId="0" borderId="0" xfId="1" applyNumberForma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1" fillId="0" borderId="0" xfId="1" applyAlignment="1">
      <alignment horizontal="left" wrapText="1"/>
    </xf>
    <xf numFmtId="0" fontId="5" fillId="5" borderId="0" xfId="1" applyFont="1" applyFill="1" applyAlignment="1">
      <alignment horizontal="left" vertical="center" wrapText="1"/>
    </xf>
    <xf numFmtId="167" fontId="1" fillId="0" borderId="0" xfId="1" applyNumberFormat="1" applyAlignment="1">
      <alignment horizontal="center" wrapText="1"/>
    </xf>
  </cellXfs>
  <cellStyles count="2">
    <cellStyle name="Normal" xfId="0" builtinId="0"/>
    <cellStyle name="Normal 2" xfId="1" xr:uid="{65A4A357-ABD4-4212-A11D-7E5E62E0C966}"/>
  </cellStyles>
  <dxfs count="2">
    <dxf>
      <numFmt numFmtId="168" formatCode="0.0000"/>
    </dxf>
    <dxf>
      <numFmt numFmtId="166" formatCode="0.00000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4DE12-55E9-41F5-9A5E-23A06882FBB2}" name="SingleLifeCalc" displayName="SingleLifeCalc" ref="A21:M142">
  <tableColumns count="13">
    <tableColumn id="1" xr3:uid="{97CF076C-326C-423D-8102-88B141B9F1AD}" name="t"/>
    <tableColumn id="2" xr3:uid="{069AE6AE-06D9-4BEC-B303-F8905D4E9A15}" name="Attained Age">
      <calculatedColumnFormula>$B$7+A22</calculatedColumnFormula>
    </tableColumn>
    <tableColumn id="3" xr3:uid="{2EEED07E-D416-4481-849E-6FAEA276BF98}" name="q_x" dataDxfId="1" dataCellStyle="Normal 2">
      <calculatedColumnFormula>OFFSET(Mort_Start,MATCH(MIN(120,B22),Mort_Age_Range,0),0)</calculatedColumnFormula>
    </tableColumn>
    <tableColumn id="4" xr3:uid="{DC4B3400-736B-444D-ABC6-F66087F02563}" name="Spot Rate" dataDxfId="0">
      <calculatedColumnFormula>IF(A22&lt;5,$B$8,IF(A22&lt;20,$B$9,$B$10))</calculatedColumnFormula>
    </tableColumn>
    <tableColumn id="5" xr3:uid="{A124BA22-74AC-4527-970A-DF0357E988CA}" name="In certain Period?">
      <calculatedColumnFormula>AND(A22&gt;=$B$15,A22&lt;$B$15+$B$12)</calculatedColumnFormula>
    </tableColumn>
    <tableColumn id="6" xr3:uid="{01C6C482-55CD-466F-9BC6-2C1C9A7C27ED}" name="Survival to Start"/>
    <tableColumn id="7" xr3:uid="{C22AD783-447C-4E3A-BE42-C8402F965B48}" name="Discount">
      <calculatedColumnFormula>IF(D22=0,1,(1+D22)^-A22)</calculatedColumnFormula>
    </tableColumn>
    <tableColumn id="8" xr3:uid="{64CBC681-CD2C-4495-9A78-9F32FB8B7A29}" name="Payment Timing adj.">
      <calculatedColumnFormula>13/24+11/24/(1+D22)*(1-C22)</calculatedColumnFormula>
    </tableColumn>
    <tableColumn id="9" xr3:uid="{D0F6E89B-78A6-48CE-8C11-46907A3FF923}" name="COLA Multiplier">
      <calculatedColumnFormula>(1+$B$14)^(A22-$B$15)</calculatedColumnFormula>
    </tableColumn>
    <tableColumn id="10" xr3:uid="{844DBE67-0850-4A2D-930D-989AF75118C0}" name="Life Pay Flag">
      <calculatedColumnFormula>AND(A22&gt;=$B$15+$B$12,OR($B$13=0,A22&lt;$B$15+$B$13))</calculatedColumnFormula>
    </tableColumn>
    <tableColumn id="11" xr3:uid="{FAAB696E-F367-4E4A-A2C8-0F97FA8FC90E}" name="Certain ">
      <calculatedColumnFormula>IF(E22,$B$16*I22*G22*IF(D22=0,1,(1-(1+D22)^-1)/(12*(1-(1+D22)^(-1/12)))),0)</calculatedColumnFormula>
    </tableColumn>
    <tableColumn id="12" xr3:uid="{496F3E8A-68E4-445B-B4A0-86ED146AAE1A}" name="Life ">
      <calculatedColumnFormula>IF(J22,I22*G22*F22*H22,0)</calculatedColumnFormula>
    </tableColumn>
    <tableColumn id="13" xr3:uid="{383CFD8D-21D8-4093-8CF6-9CA4A1146645}" name="Total">
      <calculatedColumnFormula>K22+L22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BC0B-C184-4BB5-9849-EA094134816C}">
  <sheetPr codeName="Sheet2"/>
  <dimension ref="A1:O142"/>
  <sheetViews>
    <sheetView tabSelected="1" workbookViewId="0">
      <pane ySplit="21" topLeftCell="A22" activePane="bottomLeft" state="frozen"/>
      <selection pane="bottomLeft" activeCell="A22" sqref="A22"/>
    </sheetView>
  </sheetViews>
  <sheetFormatPr defaultRowHeight="14.25"/>
  <cols>
    <col min="1" max="1" width="20.140625" style="1" customWidth="1"/>
    <col min="2" max="13" width="16" style="1" customWidth="1"/>
    <col min="14" max="14" width="9.140625" style="1"/>
    <col min="15" max="15" width="10.85546875" style="1" bestFit="1" customWidth="1"/>
    <col min="16" max="16384" width="9.140625" style="1"/>
  </cols>
  <sheetData>
    <row r="1" spans="1: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O1" s="1" t="s">
        <v>18</v>
      </c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11" t="s">
        <v>20</v>
      </c>
    </row>
    <row r="3" spans="1:15" ht="15">
      <c r="A3" s="3" t="s">
        <v>1</v>
      </c>
      <c r="B3" s="18" t="s">
        <v>52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O3" s="5" t="s">
        <v>19</v>
      </c>
    </row>
    <row r="4" spans="1:15" ht="15">
      <c r="A4" s="3" t="s">
        <v>2</v>
      </c>
      <c r="B4" s="18" t="s">
        <v>53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O4" s="14" t="s">
        <v>21</v>
      </c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ht="15">
      <c r="A6" s="4" t="s">
        <v>3</v>
      </c>
      <c r="B6" s="4" t="s">
        <v>4</v>
      </c>
      <c r="C6" s="20" t="s">
        <v>5</v>
      </c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5">
      <c r="A7" s="2" t="s">
        <v>14</v>
      </c>
      <c r="B7" s="11">
        <v>65</v>
      </c>
      <c r="C7" s="19" t="s">
        <v>15</v>
      </c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5">
      <c r="A8" s="2" t="s">
        <v>28</v>
      </c>
      <c r="B8" s="15">
        <v>0.03</v>
      </c>
      <c r="C8" s="19" t="s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5">
      <c r="A9" s="2" t="s">
        <v>29</v>
      </c>
      <c r="B9" s="15">
        <v>0.05</v>
      </c>
      <c r="C9" s="19" t="s">
        <v>8</v>
      </c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5">
      <c r="A10" s="2" t="s">
        <v>30</v>
      </c>
      <c r="B10" s="15">
        <v>5.5E-2</v>
      </c>
      <c r="C10" s="19" t="s">
        <v>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5">
      <c r="A11" s="2" t="s">
        <v>27</v>
      </c>
      <c r="B11" s="5">
        <v>65</v>
      </c>
      <c r="C11" s="19" t="s">
        <v>26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5">
      <c r="A12" s="2" t="s">
        <v>31</v>
      </c>
      <c r="B12" s="5">
        <v>0</v>
      </c>
      <c r="C12" s="19" t="s">
        <v>16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5">
      <c r="A13" s="2" t="s">
        <v>32</v>
      </c>
      <c r="B13" s="5">
        <v>0</v>
      </c>
      <c r="C13" s="19" t="s">
        <v>42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5">
      <c r="A14" s="2" t="s">
        <v>33</v>
      </c>
      <c r="B14" s="6">
        <v>0</v>
      </c>
      <c r="C14" s="19" t="s">
        <v>6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5" ht="15">
      <c r="A15" s="2" t="s">
        <v>10</v>
      </c>
      <c r="B15" s="7">
        <f>MAX(B11-B7,0)</f>
        <v>0</v>
      </c>
      <c r="C15" s="19" t="s">
        <v>41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5" ht="15">
      <c r="A16" s="2" t="s">
        <v>34</v>
      </c>
      <c r="B16" s="7" cm="1">
        <f t="array" ref="B16">IF(B15=0,1,INDEX(F22:F142,B15+1))</f>
        <v>1</v>
      </c>
      <c r="C16" s="19" t="s">
        <v>11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ht="15">
      <c r="A17" s="2" t="s">
        <v>35</v>
      </c>
      <c r="B17" s="7">
        <f>SUM(K22:K142)</f>
        <v>0</v>
      </c>
      <c r="C17" s="19" t="s">
        <v>38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ht="15" customHeight="1">
      <c r="A18" s="2" t="s">
        <v>36</v>
      </c>
      <c r="B18" s="7">
        <f ca="1">SUM(L22:L142)</f>
        <v>12.920535701118233</v>
      </c>
      <c r="C18" s="19" t="s">
        <v>39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ht="15">
      <c r="A19" s="2" t="s">
        <v>37</v>
      </c>
      <c r="B19" s="7">
        <f ca="1">B17+B18</f>
        <v>12.920535701118233</v>
      </c>
      <c r="C19" s="19" t="s">
        <v>40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0">
      <c r="A21" s="4" t="s">
        <v>12</v>
      </c>
      <c r="B21" s="4" t="s">
        <v>43</v>
      </c>
      <c r="C21" s="4" t="s">
        <v>13</v>
      </c>
      <c r="D21" s="4" t="s">
        <v>44</v>
      </c>
      <c r="E21" s="4" t="s">
        <v>45</v>
      </c>
      <c r="F21" s="4" t="s">
        <v>46</v>
      </c>
      <c r="G21" s="4" t="s">
        <v>22</v>
      </c>
      <c r="H21" s="4" t="s">
        <v>47</v>
      </c>
      <c r="I21" s="4" t="s">
        <v>48</v>
      </c>
      <c r="J21" s="4" t="s">
        <v>49</v>
      </c>
      <c r="K21" s="4" t="s">
        <v>23</v>
      </c>
      <c r="L21" s="4" t="s">
        <v>24</v>
      </c>
      <c r="M21" s="4" t="s">
        <v>25</v>
      </c>
    </row>
    <row r="22" spans="1:13">
      <c r="A22" s="8">
        <v>0</v>
      </c>
      <c r="B22" s="8">
        <f t="shared" ref="B22:B85" si="0">$B$7+A22</f>
        <v>65</v>
      </c>
      <c r="C22" s="9">
        <f t="shared" ref="C22:C53" ca="1" si="1">OFFSET(Mort_Start,MATCH(MIN(120,B22),Mort_Age_Range,0),0)</f>
        <v>6.45E-3</v>
      </c>
      <c r="D22" s="16">
        <f t="shared" ref="D22:D53" si="2">IF(A22&lt;5,$B$8,IF(A22&lt;20,$B$9,$B$10))</f>
        <v>0.03</v>
      </c>
      <c r="E22" s="2" t="b">
        <f t="shared" ref="E22:E53" si="3">AND(A22&gt;=$B$15,A22&lt;$B$15+$B$12)</f>
        <v>0</v>
      </c>
      <c r="F22" s="10">
        <f>1</f>
        <v>1</v>
      </c>
      <c r="G22" s="10">
        <f t="shared" ref="G22:G85" si="4">IF(D22=0,1,(1+D22)^-A22)</f>
        <v>1</v>
      </c>
      <c r="H22" s="10">
        <f t="shared" ref="H22:H53" ca="1" si="5">13/24+11/24/(1+D22)*(1-C22)</f>
        <v>0.98378033980582513</v>
      </c>
      <c r="I22" s="10">
        <f t="shared" ref="I22:I53" si="6">(1+$B$14)^(A22-$B$15)</f>
        <v>1</v>
      </c>
      <c r="J22" s="2" t="b">
        <f t="shared" ref="J22:J53" si="7">AND(A22&gt;=$B$15+$B$12,OR($B$13=0,A22&lt;$B$15+$B$13))</f>
        <v>1</v>
      </c>
      <c r="K22" s="10">
        <f t="shared" ref="K22:K53" si="8">IF(E22,$B$16*I22*G22*IF(D22=0,1,(1-(1+D22)^-1)/(12*(1-(1+D22)^(-1/12)))),0)</f>
        <v>0</v>
      </c>
      <c r="L22" s="10">
        <f t="shared" ref="L22:L53" ca="1" si="9">IF(J22,I22*G22*F22*H22,0)</f>
        <v>0.98378033980582513</v>
      </c>
      <c r="M22" s="10">
        <f t="shared" ref="M22:M53" ca="1" si="10">K22+L22</f>
        <v>0.98378033980582513</v>
      </c>
    </row>
    <row r="23" spans="1:13">
      <c r="A23" s="8">
        <v>1</v>
      </c>
      <c r="B23" s="8">
        <f t="shared" si="0"/>
        <v>66</v>
      </c>
      <c r="C23" s="9">
        <f t="shared" ca="1" si="1"/>
        <v>7.2899999999999996E-3</v>
      </c>
      <c r="D23" s="16">
        <f t="shared" si="2"/>
        <v>0.03</v>
      </c>
      <c r="E23" s="2" t="b">
        <f t="shared" si="3"/>
        <v>0</v>
      </c>
      <c r="F23" s="10">
        <f t="shared" ref="F23:F54" ca="1" si="11">IF(A23=0,1,F22*(1-C22))</f>
        <v>0.99355000000000004</v>
      </c>
      <c r="G23" s="10">
        <f t="shared" si="4"/>
        <v>0.970873786407767</v>
      </c>
      <c r="H23" s="10">
        <f t="shared" ca="1" si="5"/>
        <v>0.98340655339805827</v>
      </c>
      <c r="I23" s="10">
        <f t="shared" si="6"/>
        <v>1</v>
      </c>
      <c r="J23" s="2" t="b">
        <f t="shared" si="7"/>
        <v>1</v>
      </c>
      <c r="K23" s="10">
        <f t="shared" si="8"/>
        <v>0</v>
      </c>
      <c r="L23" s="10">
        <f t="shared" ca="1" si="9"/>
        <v>0.94860541857149594</v>
      </c>
      <c r="M23" s="10">
        <f t="shared" ca="1" si="10"/>
        <v>0.94860541857149594</v>
      </c>
    </row>
    <row r="24" spans="1:13">
      <c r="A24" s="8">
        <v>2</v>
      </c>
      <c r="B24" s="8">
        <f t="shared" si="0"/>
        <v>67</v>
      </c>
      <c r="C24" s="9">
        <f t="shared" ca="1" si="1"/>
        <v>8.1899999999999994E-3</v>
      </c>
      <c r="D24" s="16">
        <f t="shared" si="2"/>
        <v>0.03</v>
      </c>
      <c r="E24" s="2" t="b">
        <f t="shared" si="3"/>
        <v>0</v>
      </c>
      <c r="F24" s="10">
        <f t="shared" ca="1" si="11"/>
        <v>0.98630702050000008</v>
      </c>
      <c r="G24" s="10">
        <f t="shared" si="4"/>
        <v>0.94259590913375435</v>
      </c>
      <c r="H24" s="10">
        <f t="shared" ca="1" si="5"/>
        <v>0.98300606796116496</v>
      </c>
      <c r="I24" s="10">
        <f t="shared" si="6"/>
        <v>1</v>
      </c>
      <c r="J24" s="2" t="b">
        <f t="shared" si="7"/>
        <v>1</v>
      </c>
      <c r="K24" s="10">
        <f t="shared" si="8"/>
        <v>0</v>
      </c>
      <c r="L24" s="10">
        <f t="shared" ca="1" si="9"/>
        <v>0.91388989162427869</v>
      </c>
      <c r="M24" s="10">
        <f t="shared" ca="1" si="10"/>
        <v>0.91388989162427869</v>
      </c>
    </row>
    <row r="25" spans="1:13">
      <c r="A25" s="8">
        <v>3</v>
      </c>
      <c r="B25" s="8">
        <f t="shared" si="0"/>
        <v>68</v>
      </c>
      <c r="C25" s="9">
        <f t="shared" ca="1" si="1"/>
        <v>9.0600000000000003E-3</v>
      </c>
      <c r="D25" s="16">
        <f t="shared" si="2"/>
        <v>0.03</v>
      </c>
      <c r="E25" s="2" t="b">
        <f t="shared" si="3"/>
        <v>0</v>
      </c>
      <c r="F25" s="10">
        <f t="shared" ca="1" si="11"/>
        <v>0.97822916600210508</v>
      </c>
      <c r="G25" s="10">
        <f t="shared" si="4"/>
        <v>0.91514165935315961</v>
      </c>
      <c r="H25" s="10">
        <f t="shared" ca="1" si="5"/>
        <v>0.98261893203883499</v>
      </c>
      <c r="I25" s="10">
        <f t="shared" si="6"/>
        <v>1</v>
      </c>
      <c r="J25" s="2" t="b">
        <f t="shared" si="7"/>
        <v>1</v>
      </c>
      <c r="K25" s="10">
        <f t="shared" si="8"/>
        <v>0</v>
      </c>
      <c r="L25" s="10">
        <f t="shared" ca="1" si="9"/>
        <v>0.87965841274740053</v>
      </c>
      <c r="M25" s="10">
        <f t="shared" ca="1" si="10"/>
        <v>0.87965841274740053</v>
      </c>
    </row>
    <row r="26" spans="1:13">
      <c r="A26" s="8">
        <v>4</v>
      </c>
      <c r="B26" s="8">
        <f t="shared" si="0"/>
        <v>69</v>
      </c>
      <c r="C26" s="9">
        <f t="shared" ca="1" si="1"/>
        <v>1.001E-2</v>
      </c>
      <c r="D26" s="16">
        <f t="shared" si="2"/>
        <v>0.03</v>
      </c>
      <c r="E26" s="2" t="b">
        <f t="shared" si="3"/>
        <v>0</v>
      </c>
      <c r="F26" s="10">
        <f t="shared" ca="1" si="11"/>
        <v>0.96936640975812605</v>
      </c>
      <c r="G26" s="10">
        <f t="shared" si="4"/>
        <v>0.888487047915689</v>
      </c>
      <c r="H26" s="10">
        <f t="shared" ca="1" si="5"/>
        <v>0.98219619741100317</v>
      </c>
      <c r="I26" s="10">
        <f t="shared" si="6"/>
        <v>1</v>
      </c>
      <c r="J26" s="2" t="b">
        <f t="shared" si="7"/>
        <v>1</v>
      </c>
      <c r="K26" s="10">
        <f t="shared" si="8"/>
        <v>0</v>
      </c>
      <c r="L26" s="10">
        <f t="shared" ca="1" si="9"/>
        <v>0.84593562760507213</v>
      </c>
      <c r="M26" s="10">
        <f t="shared" ca="1" si="10"/>
        <v>0.84593562760507213</v>
      </c>
    </row>
    <row r="27" spans="1:13">
      <c r="A27" s="8">
        <v>5</v>
      </c>
      <c r="B27" s="8">
        <f t="shared" si="0"/>
        <v>70</v>
      </c>
      <c r="C27" s="9">
        <f t="shared" ca="1" si="1"/>
        <v>1.108E-2</v>
      </c>
      <c r="D27" s="16">
        <f t="shared" si="2"/>
        <v>0.05</v>
      </c>
      <c r="E27" s="2" t="b">
        <f t="shared" si="3"/>
        <v>0</v>
      </c>
      <c r="F27" s="10">
        <f t="shared" ca="1" si="11"/>
        <v>0.95966305199644719</v>
      </c>
      <c r="G27" s="10">
        <f t="shared" si="4"/>
        <v>0.78352616646845896</v>
      </c>
      <c r="H27" s="10">
        <f t="shared" ca="1" si="5"/>
        <v>0.97333809523809522</v>
      </c>
      <c r="I27" s="10">
        <f t="shared" si="6"/>
        <v>1</v>
      </c>
      <c r="J27" s="2" t="b">
        <f t="shared" si="7"/>
        <v>1</v>
      </c>
      <c r="K27" s="10">
        <f t="shared" si="8"/>
        <v>0</v>
      </c>
      <c r="L27" s="10">
        <f t="shared" ca="1" si="9"/>
        <v>0.73187346314939739</v>
      </c>
      <c r="M27" s="10">
        <f t="shared" ca="1" si="10"/>
        <v>0.73187346314939739</v>
      </c>
    </row>
    <row r="28" spans="1:13">
      <c r="A28" s="8">
        <v>6</v>
      </c>
      <c r="B28" s="8">
        <f t="shared" si="0"/>
        <v>71</v>
      </c>
      <c r="C28" s="9">
        <f t="shared" ca="1" si="1"/>
        <v>1.2319999999999999E-2</v>
      </c>
      <c r="D28" s="16">
        <f t="shared" si="2"/>
        <v>0.05</v>
      </c>
      <c r="E28" s="2" t="b">
        <f t="shared" si="3"/>
        <v>0</v>
      </c>
      <c r="F28" s="10">
        <f t="shared" ca="1" si="11"/>
        <v>0.94902998538032657</v>
      </c>
      <c r="G28" s="10">
        <f t="shared" si="4"/>
        <v>0.74621539663662761</v>
      </c>
      <c r="H28" s="10">
        <f t="shared" ca="1" si="5"/>
        <v>0.97279682539682533</v>
      </c>
      <c r="I28" s="10">
        <f t="shared" si="6"/>
        <v>1</v>
      </c>
      <c r="J28" s="2" t="b">
        <f t="shared" si="7"/>
        <v>1</v>
      </c>
      <c r="K28" s="10">
        <f t="shared" si="8"/>
        <v>0</v>
      </c>
      <c r="L28" s="10">
        <f t="shared" ca="1" si="9"/>
        <v>0.68891602136232954</v>
      </c>
      <c r="M28" s="10">
        <f t="shared" ca="1" si="10"/>
        <v>0.68891602136232954</v>
      </c>
    </row>
    <row r="29" spans="1:13">
      <c r="A29" s="8">
        <v>7</v>
      </c>
      <c r="B29" s="8">
        <f t="shared" si="0"/>
        <v>72</v>
      </c>
      <c r="C29" s="9">
        <f t="shared" ca="1" si="1"/>
        <v>1.374E-2</v>
      </c>
      <c r="D29" s="16">
        <f t="shared" si="2"/>
        <v>0.05</v>
      </c>
      <c r="E29" s="2" t="b">
        <f t="shared" si="3"/>
        <v>0</v>
      </c>
      <c r="F29" s="10">
        <f t="shared" ca="1" si="11"/>
        <v>0.9373379359604409</v>
      </c>
      <c r="G29" s="10">
        <f t="shared" si="4"/>
        <v>0.71068133013012147</v>
      </c>
      <c r="H29" s="10">
        <f t="shared" ca="1" si="5"/>
        <v>0.97217698412698406</v>
      </c>
      <c r="I29" s="10">
        <f t="shared" si="6"/>
        <v>1</v>
      </c>
      <c r="J29" s="2" t="b">
        <f t="shared" si="7"/>
        <v>1</v>
      </c>
      <c r="K29" s="10">
        <f t="shared" si="8"/>
        <v>0</v>
      </c>
      <c r="L29" s="10">
        <f t="shared" ca="1" si="9"/>
        <v>0.64761430884201421</v>
      </c>
      <c r="M29" s="10">
        <f t="shared" ca="1" si="10"/>
        <v>0.64761430884201421</v>
      </c>
    </row>
    <row r="30" spans="1:13">
      <c r="A30" s="8">
        <v>8</v>
      </c>
      <c r="B30" s="8">
        <f t="shared" si="0"/>
        <v>73</v>
      </c>
      <c r="C30" s="9">
        <f t="shared" ca="1" si="1"/>
        <v>1.5350000000000001E-2</v>
      </c>
      <c r="D30" s="16">
        <f t="shared" si="2"/>
        <v>0.05</v>
      </c>
      <c r="E30" s="2" t="b">
        <f t="shared" si="3"/>
        <v>0</v>
      </c>
      <c r="F30" s="10">
        <f t="shared" ca="1" si="11"/>
        <v>0.92445891272034442</v>
      </c>
      <c r="G30" s="10">
        <f t="shared" si="4"/>
        <v>0.67683936202868722</v>
      </c>
      <c r="H30" s="10">
        <f t="shared" ca="1" si="5"/>
        <v>0.97147420634920634</v>
      </c>
      <c r="I30" s="10">
        <f t="shared" si="6"/>
        <v>1</v>
      </c>
      <c r="J30" s="2" t="b">
        <f t="shared" si="7"/>
        <v>1</v>
      </c>
      <c r="K30" s="10">
        <f t="shared" si="8"/>
        <v>0</v>
      </c>
      <c r="L30" s="10">
        <f t="shared" ca="1" si="9"/>
        <v>0.60786130120731241</v>
      </c>
      <c r="M30" s="10">
        <f t="shared" ca="1" si="10"/>
        <v>0.60786130120731241</v>
      </c>
    </row>
    <row r="31" spans="1:13">
      <c r="A31" s="8">
        <v>9</v>
      </c>
      <c r="B31" s="8">
        <f t="shared" si="0"/>
        <v>74</v>
      </c>
      <c r="C31" s="9">
        <f t="shared" ca="1" si="1"/>
        <v>1.7170000000000001E-2</v>
      </c>
      <c r="D31" s="16">
        <f t="shared" si="2"/>
        <v>0.05</v>
      </c>
      <c r="E31" s="2" t="b">
        <f t="shared" si="3"/>
        <v>0</v>
      </c>
      <c r="F31" s="10">
        <f t="shared" ca="1" si="11"/>
        <v>0.91026846841008713</v>
      </c>
      <c r="G31" s="10">
        <f t="shared" si="4"/>
        <v>0.64460891621779726</v>
      </c>
      <c r="H31" s="10">
        <f t="shared" ca="1" si="5"/>
        <v>0.9706797619047618</v>
      </c>
      <c r="I31" s="10">
        <f t="shared" si="6"/>
        <v>1</v>
      </c>
      <c r="J31" s="2" t="b">
        <f t="shared" si="7"/>
        <v>1</v>
      </c>
      <c r="K31" s="10">
        <f t="shared" si="8"/>
        <v>0</v>
      </c>
      <c r="L31" s="10">
        <f t="shared" ca="1" si="9"/>
        <v>0.56956301773212392</v>
      </c>
      <c r="M31" s="10">
        <f t="shared" ca="1" si="10"/>
        <v>0.56956301773212392</v>
      </c>
    </row>
    <row r="32" spans="1:13">
      <c r="A32" s="8">
        <v>10</v>
      </c>
      <c r="B32" s="8">
        <f t="shared" si="0"/>
        <v>75</v>
      </c>
      <c r="C32" s="9">
        <f t="shared" ca="1" si="1"/>
        <v>1.9279999999999999E-2</v>
      </c>
      <c r="D32" s="16">
        <f t="shared" si="2"/>
        <v>0.05</v>
      </c>
      <c r="E32" s="2" t="b">
        <f t="shared" si="3"/>
        <v>0</v>
      </c>
      <c r="F32" s="10">
        <f t="shared" ca="1" si="11"/>
        <v>0.8946391588074859</v>
      </c>
      <c r="G32" s="10">
        <f t="shared" si="4"/>
        <v>0.61391325354075932</v>
      </c>
      <c r="H32" s="10">
        <f t="shared" ca="1" si="5"/>
        <v>0.96975873015873004</v>
      </c>
      <c r="I32" s="10">
        <f t="shared" si="6"/>
        <v>1</v>
      </c>
      <c r="J32" s="2" t="b">
        <f t="shared" si="7"/>
        <v>1</v>
      </c>
      <c r="K32" s="10">
        <f t="shared" si="8"/>
        <v>0</v>
      </c>
      <c r="L32" s="10">
        <f t="shared" ca="1" si="9"/>
        <v>0.53262139878981951</v>
      </c>
      <c r="M32" s="10">
        <f t="shared" ca="1" si="10"/>
        <v>0.53262139878981951</v>
      </c>
    </row>
    <row r="33" spans="1:13">
      <c r="A33" s="8">
        <v>11</v>
      </c>
      <c r="B33" s="8">
        <f t="shared" si="0"/>
        <v>76</v>
      </c>
      <c r="C33" s="9">
        <f t="shared" ca="1" si="1"/>
        <v>2.1700000000000001E-2</v>
      </c>
      <c r="D33" s="16">
        <f t="shared" si="2"/>
        <v>0.05</v>
      </c>
      <c r="E33" s="2" t="b">
        <f t="shared" si="3"/>
        <v>0</v>
      </c>
      <c r="F33" s="10">
        <f t="shared" ca="1" si="11"/>
        <v>0.87739051582567762</v>
      </c>
      <c r="G33" s="10">
        <f t="shared" si="4"/>
        <v>0.5846792890864374</v>
      </c>
      <c r="H33" s="10">
        <f t="shared" ca="1" si="5"/>
        <v>0.96870238095238081</v>
      </c>
      <c r="I33" s="10">
        <f t="shared" si="6"/>
        <v>1</v>
      </c>
      <c r="J33" s="2" t="b">
        <f t="shared" si="7"/>
        <v>1</v>
      </c>
      <c r="K33" s="10">
        <f t="shared" si="8"/>
        <v>0</v>
      </c>
      <c r="L33" s="10">
        <f t="shared" ca="1" si="9"/>
        <v>0.49693663288053208</v>
      </c>
      <c r="M33" s="10">
        <f t="shared" ca="1" si="10"/>
        <v>0.49693663288053208</v>
      </c>
    </row>
    <row r="34" spans="1:13">
      <c r="A34" s="8">
        <v>12</v>
      </c>
      <c r="B34" s="8">
        <f t="shared" si="0"/>
        <v>77</v>
      </c>
      <c r="C34" s="9">
        <f t="shared" ca="1" si="1"/>
        <v>2.4469999999999999E-2</v>
      </c>
      <c r="D34" s="16">
        <f t="shared" si="2"/>
        <v>0.05</v>
      </c>
      <c r="E34" s="2" t="b">
        <f t="shared" si="3"/>
        <v>0</v>
      </c>
      <c r="F34" s="10">
        <f t="shared" ca="1" si="11"/>
        <v>0.85835114163226034</v>
      </c>
      <c r="G34" s="10">
        <f t="shared" si="4"/>
        <v>0.5568374181775595</v>
      </c>
      <c r="H34" s="10">
        <f t="shared" ca="1" si="5"/>
        <v>0.96749325396825392</v>
      </c>
      <c r="I34" s="10">
        <f t="shared" si="6"/>
        <v>1</v>
      </c>
      <c r="J34" s="2" t="b">
        <f t="shared" si="7"/>
        <v>1</v>
      </c>
      <c r="K34" s="10">
        <f t="shared" si="8"/>
        <v>0</v>
      </c>
      <c r="L34" s="10">
        <f t="shared" ca="1" si="9"/>
        <v>0.46242504315733773</v>
      </c>
      <c r="M34" s="10">
        <f t="shared" ca="1" si="10"/>
        <v>0.46242504315733773</v>
      </c>
    </row>
    <row r="35" spans="1:13">
      <c r="A35" s="8">
        <v>13</v>
      </c>
      <c r="B35" s="8">
        <f t="shared" si="0"/>
        <v>78</v>
      </c>
      <c r="C35" s="9">
        <f t="shared" ca="1" si="1"/>
        <v>2.7609999999999999E-2</v>
      </c>
      <c r="D35" s="16">
        <f t="shared" si="2"/>
        <v>0.05</v>
      </c>
      <c r="E35" s="2" t="b">
        <f t="shared" si="3"/>
        <v>0</v>
      </c>
      <c r="F35" s="10">
        <f t="shared" ca="1" si="11"/>
        <v>0.83734728919651891</v>
      </c>
      <c r="G35" s="10">
        <f t="shared" si="4"/>
        <v>0.53032135064529462</v>
      </c>
      <c r="H35" s="10">
        <f t="shared" ca="1" si="5"/>
        <v>0.96612261904761887</v>
      </c>
      <c r="I35" s="10">
        <f t="shared" si="6"/>
        <v>1</v>
      </c>
      <c r="J35" s="2" t="b">
        <f t="shared" si="7"/>
        <v>1</v>
      </c>
      <c r="K35" s="10">
        <f t="shared" si="8"/>
        <v>0</v>
      </c>
      <c r="L35" s="10">
        <f t="shared" ca="1" si="9"/>
        <v>0.42901944902340172</v>
      </c>
      <c r="M35" s="10">
        <f t="shared" ca="1" si="10"/>
        <v>0.42901944902340172</v>
      </c>
    </row>
    <row r="36" spans="1:13">
      <c r="A36" s="8">
        <v>14</v>
      </c>
      <c r="B36" s="8">
        <f t="shared" si="0"/>
        <v>79</v>
      </c>
      <c r="C36" s="9">
        <f t="shared" ca="1" si="1"/>
        <v>3.1199999999999999E-2</v>
      </c>
      <c r="D36" s="16">
        <f t="shared" si="2"/>
        <v>0.05</v>
      </c>
      <c r="E36" s="2" t="b">
        <f t="shared" si="3"/>
        <v>0</v>
      </c>
      <c r="F36" s="10">
        <f t="shared" ca="1" si="11"/>
        <v>0.81422813054180299</v>
      </c>
      <c r="G36" s="10">
        <f t="shared" si="4"/>
        <v>0.50506795299551888</v>
      </c>
      <c r="H36" s="10">
        <f t="shared" ca="1" si="5"/>
        <v>0.96455555555555539</v>
      </c>
      <c r="I36" s="10">
        <f t="shared" si="6"/>
        <v>1</v>
      </c>
      <c r="J36" s="2" t="b">
        <f t="shared" si="7"/>
        <v>1</v>
      </c>
      <c r="K36" s="10">
        <f t="shared" si="8"/>
        <v>0</v>
      </c>
      <c r="L36" s="10">
        <f t="shared" ca="1" si="9"/>
        <v>0.39666434286218838</v>
      </c>
      <c r="M36" s="10">
        <f t="shared" ca="1" si="10"/>
        <v>0.39666434286218838</v>
      </c>
    </row>
    <row r="37" spans="1:13">
      <c r="A37" s="8">
        <v>15</v>
      </c>
      <c r="B37" s="8">
        <f t="shared" si="0"/>
        <v>80</v>
      </c>
      <c r="C37" s="9">
        <f t="shared" ca="1" si="1"/>
        <v>3.5279999999999999E-2</v>
      </c>
      <c r="D37" s="16">
        <f t="shared" si="2"/>
        <v>0.05</v>
      </c>
      <c r="E37" s="2" t="b">
        <f t="shared" si="3"/>
        <v>0</v>
      </c>
      <c r="F37" s="10">
        <f t="shared" ca="1" si="11"/>
        <v>0.7888242128688987</v>
      </c>
      <c r="G37" s="10">
        <f t="shared" si="4"/>
        <v>0.48101709809097021</v>
      </c>
      <c r="H37" s="10">
        <f t="shared" ca="1" si="5"/>
        <v>0.96277460317460317</v>
      </c>
      <c r="I37" s="10">
        <f t="shared" si="6"/>
        <v>1</v>
      </c>
      <c r="J37" s="2" t="b">
        <f t="shared" si="7"/>
        <v>1</v>
      </c>
      <c r="K37" s="10">
        <f t="shared" si="8"/>
        <v>0</v>
      </c>
      <c r="L37" s="10">
        <f t="shared" ca="1" si="9"/>
        <v>0.36531320612259333</v>
      </c>
      <c r="M37" s="10">
        <f t="shared" ca="1" si="10"/>
        <v>0.36531320612259333</v>
      </c>
    </row>
    <row r="38" spans="1:13">
      <c r="A38" s="8">
        <v>16</v>
      </c>
      <c r="B38" s="8">
        <f t="shared" si="0"/>
        <v>81</v>
      </c>
      <c r="C38" s="9">
        <f t="shared" ca="1" si="1"/>
        <v>4.0149999999999998E-2</v>
      </c>
      <c r="D38" s="16">
        <f t="shared" si="2"/>
        <v>0.05</v>
      </c>
      <c r="E38" s="2" t="b">
        <f t="shared" si="3"/>
        <v>0</v>
      </c>
      <c r="F38" s="10">
        <f t="shared" ca="1" si="11"/>
        <v>0.76099449463888402</v>
      </c>
      <c r="G38" s="10">
        <f t="shared" si="4"/>
        <v>0.45811152199140021</v>
      </c>
      <c r="H38" s="10">
        <f t="shared" ca="1" si="5"/>
        <v>0.96064880952380949</v>
      </c>
      <c r="I38" s="10">
        <f t="shared" si="6"/>
        <v>1</v>
      </c>
      <c r="J38" s="2" t="b">
        <f t="shared" si="7"/>
        <v>1</v>
      </c>
      <c r="K38" s="10">
        <f t="shared" si="8"/>
        <v>0</v>
      </c>
      <c r="L38" s="10">
        <f t="shared" ca="1" si="9"/>
        <v>0.33490172052023809</v>
      </c>
      <c r="M38" s="10">
        <f t="shared" ca="1" si="10"/>
        <v>0.33490172052023809</v>
      </c>
    </row>
    <row r="39" spans="1:13">
      <c r="A39" s="8">
        <v>17</v>
      </c>
      <c r="B39" s="8">
        <f t="shared" si="0"/>
        <v>82</v>
      </c>
      <c r="C39" s="9">
        <f t="shared" ca="1" si="1"/>
        <v>4.512E-2</v>
      </c>
      <c r="D39" s="16">
        <f t="shared" si="2"/>
        <v>0.05</v>
      </c>
      <c r="E39" s="2" t="b">
        <f t="shared" si="3"/>
        <v>0</v>
      </c>
      <c r="F39" s="10">
        <f t="shared" ca="1" si="11"/>
        <v>0.73044056567913285</v>
      </c>
      <c r="G39" s="10">
        <f t="shared" si="4"/>
        <v>0.43629668761085727</v>
      </c>
      <c r="H39" s="10">
        <f t="shared" ca="1" si="5"/>
        <v>0.95847936507936504</v>
      </c>
      <c r="I39" s="10">
        <f t="shared" si="6"/>
        <v>1</v>
      </c>
      <c r="J39" s="2" t="b">
        <f t="shared" si="7"/>
        <v>1</v>
      </c>
      <c r="K39" s="10">
        <f t="shared" si="8"/>
        <v>0</v>
      </c>
      <c r="L39" s="10">
        <f t="shared" ca="1" si="9"/>
        <v>0.30545663801327577</v>
      </c>
      <c r="M39" s="10">
        <f t="shared" ca="1" si="10"/>
        <v>0.30545663801327577</v>
      </c>
    </row>
    <row r="40" spans="1:13">
      <c r="A40" s="8">
        <v>18</v>
      </c>
      <c r="B40" s="8">
        <f t="shared" si="0"/>
        <v>83</v>
      </c>
      <c r="C40" s="9">
        <f t="shared" ca="1" si="1"/>
        <v>5.0700000000000002E-2</v>
      </c>
      <c r="D40" s="16">
        <f t="shared" si="2"/>
        <v>0.05</v>
      </c>
      <c r="E40" s="2" t="b">
        <f t="shared" si="3"/>
        <v>0</v>
      </c>
      <c r="F40" s="10">
        <f t="shared" ca="1" si="11"/>
        <v>0.69748308735569031</v>
      </c>
      <c r="G40" s="10">
        <f t="shared" si="4"/>
        <v>0.41552065486748313</v>
      </c>
      <c r="H40" s="10">
        <f t="shared" ca="1" si="5"/>
        <v>0.95604365079365072</v>
      </c>
      <c r="I40" s="10">
        <f t="shared" si="6"/>
        <v>1</v>
      </c>
      <c r="J40" s="2" t="b">
        <f t="shared" si="7"/>
        <v>1</v>
      </c>
      <c r="K40" s="10">
        <f t="shared" si="8"/>
        <v>0</v>
      </c>
      <c r="L40" s="10">
        <f t="shared" ca="1" si="9"/>
        <v>0.27707926034466113</v>
      </c>
      <c r="M40" s="10">
        <f t="shared" ca="1" si="10"/>
        <v>0.27707926034466113</v>
      </c>
    </row>
    <row r="41" spans="1:13">
      <c r="A41" s="8">
        <v>19</v>
      </c>
      <c r="B41" s="8">
        <f t="shared" si="0"/>
        <v>84</v>
      </c>
      <c r="C41" s="9">
        <f t="shared" ca="1" si="1"/>
        <v>5.697E-2</v>
      </c>
      <c r="D41" s="16">
        <f t="shared" si="2"/>
        <v>0.05</v>
      </c>
      <c r="E41" s="2" t="b">
        <f t="shared" si="3"/>
        <v>0</v>
      </c>
      <c r="F41" s="10">
        <f t="shared" ca="1" si="11"/>
        <v>0.66212069482675684</v>
      </c>
      <c r="G41" s="10">
        <f t="shared" si="4"/>
        <v>0.39573395701665059</v>
      </c>
      <c r="H41" s="10">
        <f t="shared" ca="1" si="5"/>
        <v>0.95330674603174592</v>
      </c>
      <c r="I41" s="10">
        <f t="shared" si="6"/>
        <v>1</v>
      </c>
      <c r="J41" s="2" t="b">
        <f t="shared" si="7"/>
        <v>1</v>
      </c>
      <c r="K41" s="10">
        <f t="shared" si="8"/>
        <v>0</v>
      </c>
      <c r="L41" s="10">
        <f t="shared" ca="1" si="9"/>
        <v>0.24978890609743248</v>
      </c>
      <c r="M41" s="10">
        <f t="shared" ca="1" si="10"/>
        <v>0.24978890609743248</v>
      </c>
    </row>
    <row r="42" spans="1:13">
      <c r="A42" s="8">
        <v>20</v>
      </c>
      <c r="B42" s="8">
        <f t="shared" si="0"/>
        <v>85</v>
      </c>
      <c r="C42" s="9">
        <f t="shared" ca="1" si="1"/>
        <v>6.4070000000000002E-2</v>
      </c>
      <c r="D42" s="16">
        <f t="shared" si="2"/>
        <v>5.5E-2</v>
      </c>
      <c r="E42" s="2" t="b">
        <f t="shared" si="3"/>
        <v>0</v>
      </c>
      <c r="F42" s="10">
        <f t="shared" ca="1" si="11"/>
        <v>0.62439967884247649</v>
      </c>
      <c r="G42" s="10">
        <f t="shared" si="4"/>
        <v>0.34272896332894381</v>
      </c>
      <c r="H42" s="10">
        <f t="shared" ca="1" si="5"/>
        <v>0.94827132701421801</v>
      </c>
      <c r="I42" s="10">
        <f t="shared" si="6"/>
        <v>1</v>
      </c>
      <c r="J42" s="2" t="b">
        <f t="shared" si="7"/>
        <v>1</v>
      </c>
      <c r="K42" s="10">
        <f t="shared" si="8"/>
        <v>0</v>
      </c>
      <c r="L42" s="10">
        <f t="shared" ca="1" si="9"/>
        <v>0.2029299261333124</v>
      </c>
      <c r="M42" s="10">
        <f t="shared" ca="1" si="10"/>
        <v>0.2029299261333124</v>
      </c>
    </row>
    <row r="43" spans="1:13">
      <c r="A43" s="8">
        <v>21</v>
      </c>
      <c r="B43" s="8">
        <f t="shared" si="0"/>
        <v>86</v>
      </c>
      <c r="C43" s="9">
        <f t="shared" ca="1" si="1"/>
        <v>7.2160000000000002E-2</v>
      </c>
      <c r="D43" s="16">
        <f t="shared" si="2"/>
        <v>5.5E-2</v>
      </c>
      <c r="E43" s="2" t="b">
        <f t="shared" si="3"/>
        <v>0</v>
      </c>
      <c r="F43" s="10">
        <f t="shared" ca="1" si="11"/>
        <v>0.58439439141903904</v>
      </c>
      <c r="G43" s="10">
        <f t="shared" si="4"/>
        <v>0.32486157661511261</v>
      </c>
      <c r="H43" s="10">
        <f t="shared" ca="1" si="5"/>
        <v>0.94475671406003159</v>
      </c>
      <c r="I43" s="10">
        <f t="shared" si="6"/>
        <v>1</v>
      </c>
      <c r="J43" s="2" t="b">
        <f t="shared" si="7"/>
        <v>1</v>
      </c>
      <c r="K43" s="10">
        <f t="shared" si="8"/>
        <v>0</v>
      </c>
      <c r="L43" s="10">
        <f t="shared" ca="1" si="9"/>
        <v>0.17935949560175724</v>
      </c>
      <c r="M43" s="10">
        <f t="shared" ca="1" si="10"/>
        <v>0.17935949560175724</v>
      </c>
    </row>
    <row r="44" spans="1:13">
      <c r="A44" s="8">
        <v>22</v>
      </c>
      <c r="B44" s="8">
        <f t="shared" si="0"/>
        <v>87</v>
      </c>
      <c r="C44" s="9">
        <f t="shared" ca="1" si="1"/>
        <v>8.1390000000000004E-2</v>
      </c>
      <c r="D44" s="16">
        <f t="shared" si="2"/>
        <v>5.5E-2</v>
      </c>
      <c r="E44" s="2" t="b">
        <f t="shared" si="3"/>
        <v>0</v>
      </c>
      <c r="F44" s="10">
        <f t="shared" ca="1" si="11"/>
        <v>0.54222449213424118</v>
      </c>
      <c r="G44" s="10">
        <f t="shared" si="4"/>
        <v>0.30792566503802149</v>
      </c>
      <c r="H44" s="10">
        <f t="shared" ca="1" si="5"/>
        <v>0.94074684044233803</v>
      </c>
      <c r="I44" s="10">
        <f t="shared" si="6"/>
        <v>1</v>
      </c>
      <c r="J44" s="2" t="b">
        <f t="shared" si="7"/>
        <v>1</v>
      </c>
      <c r="K44" s="10">
        <f t="shared" si="8"/>
        <v>0</v>
      </c>
      <c r="L44" s="10">
        <f t="shared" ca="1" si="9"/>
        <v>0.15707164319289346</v>
      </c>
      <c r="M44" s="10">
        <f t="shared" ca="1" si="10"/>
        <v>0.15707164319289346</v>
      </c>
    </row>
    <row r="45" spans="1:13">
      <c r="A45" s="8">
        <v>23</v>
      </c>
      <c r="B45" s="8">
        <f t="shared" si="0"/>
        <v>88</v>
      </c>
      <c r="C45" s="9">
        <f t="shared" ca="1" si="1"/>
        <v>9.1819999999999999E-2</v>
      </c>
      <c r="D45" s="16">
        <f t="shared" si="2"/>
        <v>5.5E-2</v>
      </c>
      <c r="E45" s="2" t="b">
        <f t="shared" si="3"/>
        <v>0</v>
      </c>
      <c r="F45" s="10">
        <f t="shared" ca="1" si="11"/>
        <v>0.49809284071943533</v>
      </c>
      <c r="G45" s="10">
        <f t="shared" si="4"/>
        <v>0.29187266828248482</v>
      </c>
      <c r="H45" s="10">
        <f t="shared" ca="1" si="5"/>
        <v>0.93621563981042644</v>
      </c>
      <c r="I45" s="10">
        <f t="shared" si="6"/>
        <v>1</v>
      </c>
      <c r="J45" s="2" t="b">
        <f t="shared" si="7"/>
        <v>1</v>
      </c>
      <c r="K45" s="10">
        <f t="shared" si="8"/>
        <v>0</v>
      </c>
      <c r="L45" s="10">
        <f t="shared" ca="1" si="9"/>
        <v>0.13610673618693145</v>
      </c>
      <c r="M45" s="10">
        <f t="shared" ca="1" si="10"/>
        <v>0.13610673618693145</v>
      </c>
    </row>
    <row r="46" spans="1:13">
      <c r="A46" s="8">
        <v>24</v>
      </c>
      <c r="B46" s="8">
        <f t="shared" si="0"/>
        <v>89</v>
      </c>
      <c r="C46" s="9">
        <f t="shared" ca="1" si="1"/>
        <v>0.10363</v>
      </c>
      <c r="D46" s="16">
        <f t="shared" si="2"/>
        <v>5.5E-2</v>
      </c>
      <c r="E46" s="2" t="b">
        <f t="shared" si="3"/>
        <v>0</v>
      </c>
      <c r="F46" s="10">
        <f t="shared" ca="1" si="11"/>
        <v>0.4523579560845768</v>
      </c>
      <c r="G46" s="10">
        <f t="shared" si="4"/>
        <v>0.2766565576137297</v>
      </c>
      <c r="H46" s="10">
        <f t="shared" ca="1" si="5"/>
        <v>0.93108491311216435</v>
      </c>
      <c r="I46" s="10">
        <f t="shared" si="6"/>
        <v>1</v>
      </c>
      <c r="J46" s="2" t="b">
        <f t="shared" si="7"/>
        <v>1</v>
      </c>
      <c r="K46" s="10">
        <f t="shared" si="8"/>
        <v>0</v>
      </c>
      <c r="L46" s="10">
        <f t="shared" ca="1" si="9"/>
        <v>0.11652322377746217</v>
      </c>
      <c r="M46" s="10">
        <f t="shared" ca="1" si="10"/>
        <v>0.11652322377746217</v>
      </c>
    </row>
    <row r="47" spans="1:13">
      <c r="A47" s="8">
        <v>25</v>
      </c>
      <c r="B47" s="8">
        <f t="shared" si="0"/>
        <v>90</v>
      </c>
      <c r="C47" s="9">
        <f t="shared" ca="1" si="1"/>
        <v>0.11672</v>
      </c>
      <c r="D47" s="16">
        <f t="shared" si="2"/>
        <v>5.5E-2</v>
      </c>
      <c r="E47" s="2" t="b">
        <f t="shared" si="3"/>
        <v>0</v>
      </c>
      <c r="F47" s="10">
        <f t="shared" ca="1" si="11"/>
        <v>0.40548010109553212</v>
      </c>
      <c r="G47" s="10">
        <f t="shared" si="4"/>
        <v>0.26223370389926987</v>
      </c>
      <c r="H47" s="10">
        <f t="shared" ca="1" si="5"/>
        <v>0.92539810426540281</v>
      </c>
      <c r="I47" s="10">
        <f t="shared" si="6"/>
        <v>1</v>
      </c>
      <c r="J47" s="2" t="b">
        <f t="shared" si="7"/>
        <v>1</v>
      </c>
      <c r="K47" s="10">
        <f t="shared" si="8"/>
        <v>0</v>
      </c>
      <c r="L47" s="10">
        <f t="shared" ca="1" si="9"/>
        <v>9.8398088255158944E-2</v>
      </c>
      <c r="M47" s="10">
        <f t="shared" ca="1" si="10"/>
        <v>9.8398088255158944E-2</v>
      </c>
    </row>
    <row r="48" spans="1:13">
      <c r="A48" s="8">
        <v>26</v>
      </c>
      <c r="B48" s="8">
        <f t="shared" si="0"/>
        <v>91</v>
      </c>
      <c r="C48" s="9">
        <f t="shared" ca="1" si="1"/>
        <v>0.13111999999999999</v>
      </c>
      <c r="D48" s="16">
        <f t="shared" si="2"/>
        <v>5.5E-2</v>
      </c>
      <c r="E48" s="2" t="b">
        <f t="shared" si="3"/>
        <v>0</v>
      </c>
      <c r="F48" s="10">
        <f t="shared" ca="1" si="11"/>
        <v>0.35815246369566162</v>
      </c>
      <c r="G48" s="10">
        <f t="shared" si="4"/>
        <v>0.24856275251115625</v>
      </c>
      <c r="H48" s="10">
        <f t="shared" ca="1" si="5"/>
        <v>0.91914218009478676</v>
      </c>
      <c r="I48" s="10">
        <f t="shared" si="6"/>
        <v>1</v>
      </c>
      <c r="J48" s="2" t="b">
        <f t="shared" si="7"/>
        <v>1</v>
      </c>
      <c r="K48" s="10">
        <f t="shared" si="8"/>
        <v>0</v>
      </c>
      <c r="L48" s="10">
        <f t="shared" ca="1" si="9"/>
        <v>8.1825127207138207E-2</v>
      </c>
      <c r="M48" s="10">
        <f t="shared" ca="1" si="10"/>
        <v>8.1825127207138207E-2</v>
      </c>
    </row>
    <row r="49" spans="1:13">
      <c r="A49" s="8">
        <v>27</v>
      </c>
      <c r="B49" s="8">
        <f t="shared" si="0"/>
        <v>92</v>
      </c>
      <c r="C49" s="9">
        <f t="shared" ca="1" si="1"/>
        <v>0.14616999999999999</v>
      </c>
      <c r="D49" s="16">
        <f t="shared" si="2"/>
        <v>5.5E-2</v>
      </c>
      <c r="E49" s="2" t="b">
        <f t="shared" si="3"/>
        <v>0</v>
      </c>
      <c r="F49" s="10">
        <f t="shared" ca="1" si="11"/>
        <v>0.31119151265588646</v>
      </c>
      <c r="G49" s="10">
        <f t="shared" si="4"/>
        <v>0.23560450474991115</v>
      </c>
      <c r="H49" s="10">
        <f t="shared" ca="1" si="5"/>
        <v>0.91260387045813585</v>
      </c>
      <c r="I49" s="10">
        <f t="shared" si="6"/>
        <v>1</v>
      </c>
      <c r="J49" s="2" t="b">
        <f t="shared" si="7"/>
        <v>1</v>
      </c>
      <c r="K49" s="10">
        <f t="shared" si="8"/>
        <v>0</v>
      </c>
      <c r="L49" s="10">
        <f t="shared" ca="1" si="9"/>
        <v>6.6910402114214895E-2</v>
      </c>
      <c r="M49" s="10">
        <f t="shared" ca="1" si="10"/>
        <v>6.6910402114214895E-2</v>
      </c>
    </row>
    <row r="50" spans="1:13">
      <c r="A50" s="8">
        <v>28</v>
      </c>
      <c r="B50" s="8">
        <f t="shared" si="0"/>
        <v>93</v>
      </c>
      <c r="C50" s="9">
        <f t="shared" ca="1" si="1"/>
        <v>0.16170000000000001</v>
      </c>
      <c r="D50" s="16">
        <f t="shared" si="2"/>
        <v>5.5E-2</v>
      </c>
      <c r="E50" s="2" t="b">
        <f t="shared" si="3"/>
        <v>0</v>
      </c>
      <c r="F50" s="10">
        <f t="shared" ca="1" si="11"/>
        <v>0.26570464925097553</v>
      </c>
      <c r="G50" s="10">
        <f t="shared" si="4"/>
        <v>0.22332180545015276</v>
      </c>
      <c r="H50" s="10">
        <f t="shared" ca="1" si="5"/>
        <v>0.90585703001579776</v>
      </c>
      <c r="I50" s="10">
        <f t="shared" si="6"/>
        <v>1</v>
      </c>
      <c r="J50" s="2" t="b">
        <f t="shared" si="7"/>
        <v>1</v>
      </c>
      <c r="K50" s="10">
        <f t="shared" si="8"/>
        <v>0</v>
      </c>
      <c r="L50" s="10">
        <f t="shared" ca="1" si="9"/>
        <v>5.3751420138690546E-2</v>
      </c>
      <c r="M50" s="10">
        <f t="shared" ca="1" si="10"/>
        <v>5.3751420138690546E-2</v>
      </c>
    </row>
    <row r="51" spans="1:13">
      <c r="A51" s="8">
        <v>29</v>
      </c>
      <c r="B51" s="8">
        <f t="shared" si="0"/>
        <v>94</v>
      </c>
      <c r="C51" s="9">
        <f t="shared" ca="1" si="1"/>
        <v>0.17766999999999999</v>
      </c>
      <c r="D51" s="16">
        <f t="shared" si="2"/>
        <v>5.5E-2</v>
      </c>
      <c r="E51" s="2" t="b">
        <f t="shared" si="3"/>
        <v>0</v>
      </c>
      <c r="F51" s="10">
        <f t="shared" ca="1" si="11"/>
        <v>0.2227402074670928</v>
      </c>
      <c r="G51" s="10">
        <f t="shared" si="4"/>
        <v>0.21167943644564247</v>
      </c>
      <c r="H51" s="10">
        <f t="shared" ca="1" si="5"/>
        <v>0.8989190363349131</v>
      </c>
      <c r="I51" s="10">
        <f t="shared" si="6"/>
        <v>1</v>
      </c>
      <c r="J51" s="2" t="b">
        <f t="shared" si="7"/>
        <v>1</v>
      </c>
      <c r="K51" s="10">
        <f t="shared" si="8"/>
        <v>0</v>
      </c>
      <c r="L51" s="10">
        <f t="shared" ca="1" si="9"/>
        <v>4.2383602511712248E-2</v>
      </c>
      <c r="M51" s="10">
        <f t="shared" ca="1" si="10"/>
        <v>4.2383602511712248E-2</v>
      </c>
    </row>
    <row r="52" spans="1:13">
      <c r="A52" s="8">
        <v>30</v>
      </c>
      <c r="B52" s="8">
        <f t="shared" si="0"/>
        <v>95</v>
      </c>
      <c r="C52" s="9">
        <f t="shared" ca="1" si="1"/>
        <v>0.19383</v>
      </c>
      <c r="D52" s="16">
        <f t="shared" si="2"/>
        <v>5.5E-2</v>
      </c>
      <c r="E52" s="2" t="b">
        <f t="shared" si="3"/>
        <v>0</v>
      </c>
      <c r="F52" s="10">
        <f t="shared" ca="1" si="11"/>
        <v>0.18316595480641443</v>
      </c>
      <c r="G52" s="10">
        <f t="shared" si="4"/>
        <v>0.20064401558828671</v>
      </c>
      <c r="H52" s="10">
        <f t="shared" ca="1" si="5"/>
        <v>0.89189849921011055</v>
      </c>
      <c r="I52" s="10">
        <f t="shared" si="6"/>
        <v>1</v>
      </c>
      <c r="J52" s="2" t="b">
        <f t="shared" si="7"/>
        <v>1</v>
      </c>
      <c r="K52" s="10">
        <f t="shared" si="8"/>
        <v>0</v>
      </c>
      <c r="L52" s="10">
        <f t="shared" ca="1" si="9"/>
        <v>3.2778297929720576E-2</v>
      </c>
      <c r="M52" s="10">
        <f t="shared" ca="1" si="10"/>
        <v>3.2778297929720576E-2</v>
      </c>
    </row>
    <row r="53" spans="1:13">
      <c r="A53" s="8">
        <v>31</v>
      </c>
      <c r="B53" s="8">
        <f t="shared" si="0"/>
        <v>96</v>
      </c>
      <c r="C53" s="9">
        <f t="shared" ca="1" si="1"/>
        <v>0.21015</v>
      </c>
      <c r="D53" s="16">
        <f t="shared" si="2"/>
        <v>5.5E-2</v>
      </c>
      <c r="E53" s="2" t="b">
        <f t="shared" si="3"/>
        <v>0</v>
      </c>
      <c r="F53" s="10">
        <f t="shared" ca="1" si="11"/>
        <v>0.14766289778628713</v>
      </c>
      <c r="G53" s="10">
        <f t="shared" si="4"/>
        <v>0.19018390103155139</v>
      </c>
      <c r="H53" s="10">
        <f t="shared" ca="1" si="5"/>
        <v>0.88480845181674561</v>
      </c>
      <c r="I53" s="10">
        <f t="shared" si="6"/>
        <v>1</v>
      </c>
      <c r="J53" s="2" t="b">
        <f t="shared" si="7"/>
        <v>1</v>
      </c>
      <c r="K53" s="10">
        <f t="shared" si="8"/>
        <v>0</v>
      </c>
      <c r="L53" s="10">
        <f t="shared" ca="1" si="9"/>
        <v>2.4848169487755416E-2</v>
      </c>
      <c r="M53" s="10">
        <f t="shared" ca="1" si="10"/>
        <v>2.4848169487755416E-2</v>
      </c>
    </row>
    <row r="54" spans="1:13">
      <c r="A54" s="8">
        <v>32</v>
      </c>
      <c r="B54" s="8">
        <f t="shared" si="0"/>
        <v>97</v>
      </c>
      <c r="C54" s="9">
        <f t="shared" ref="C54:C85" ca="1" si="12">OFFSET(Mort_Start,MATCH(MIN(120,B54),Mort_Age_Range,0),0)</f>
        <v>0.22749</v>
      </c>
      <c r="D54" s="16">
        <f t="shared" ref="D54:D85" si="13">IF(A54&lt;5,$B$8,IF(A54&lt;20,$B$9,$B$10))</f>
        <v>5.5E-2</v>
      </c>
      <c r="E54" s="2" t="b">
        <f t="shared" ref="E54:E85" si="14">AND(A54&gt;=$B$15,A54&lt;$B$15+$B$12)</f>
        <v>0</v>
      </c>
      <c r="F54" s="10">
        <f t="shared" ca="1" si="11"/>
        <v>0.11663153981649889</v>
      </c>
      <c r="G54" s="10">
        <f t="shared" si="4"/>
        <v>0.18026910050384018</v>
      </c>
      <c r="H54" s="10">
        <f t="shared" ref="H54:H85" ca="1" si="15">13/24+11/24/(1+D54)*(1-C54)</f>
        <v>0.87727527646129544</v>
      </c>
      <c r="I54" s="10">
        <f t="shared" ref="I54:I85" si="16">(1+$B$14)^(A54-$B$15)</f>
        <v>1</v>
      </c>
      <c r="J54" s="2" t="b">
        <f t="shared" ref="J54:J85" si="17">AND(A54&gt;=$B$15+$B$12,OR($B$13=0,A54&lt;$B$15+$B$13))</f>
        <v>1</v>
      </c>
      <c r="K54" s="10">
        <f t="shared" ref="K54:K85" si="18">IF(E54,$B$16*I54*G54*IF(D54=0,1,(1-(1+D54)^-1)/(12*(1-(1+D54)^(-1/12)))),0)</f>
        <v>0</v>
      </c>
      <c r="L54" s="10">
        <f t="shared" ref="L54:L85" ca="1" si="19">IF(J54,I54*G54*F54*H54,0)</f>
        <v>1.8444767756885704E-2</v>
      </c>
      <c r="M54" s="10">
        <f t="shared" ref="M54:M85" ca="1" si="20">K54+L54</f>
        <v>1.8444767756885704E-2</v>
      </c>
    </row>
    <row r="55" spans="1:13">
      <c r="A55" s="8">
        <v>33</v>
      </c>
      <c r="B55" s="8">
        <f t="shared" si="0"/>
        <v>98</v>
      </c>
      <c r="C55" s="9">
        <f t="shared" ca="1" si="12"/>
        <v>0.24529000000000001</v>
      </c>
      <c r="D55" s="16">
        <f t="shared" si="13"/>
        <v>5.5E-2</v>
      </c>
      <c r="E55" s="2" t="b">
        <f t="shared" si="14"/>
        <v>0</v>
      </c>
      <c r="F55" s="10">
        <f t="shared" ref="F55:F86" ca="1" si="21">IF(A55=0,1,F54*(1-C54))</f>
        <v>9.0099030823643567E-2</v>
      </c>
      <c r="G55" s="10">
        <f t="shared" si="4"/>
        <v>0.17087118531169684</v>
      </c>
      <c r="H55" s="10">
        <f t="shared" ca="1" si="15"/>
        <v>0.86954225908372829</v>
      </c>
      <c r="I55" s="10">
        <f t="shared" si="16"/>
        <v>1</v>
      </c>
      <c r="J55" s="2" t="b">
        <f t="shared" si="17"/>
        <v>1</v>
      </c>
      <c r="K55" s="10">
        <f t="shared" si="18"/>
        <v>0</v>
      </c>
      <c r="L55" s="10">
        <f t="shared" ca="1" si="19"/>
        <v>1.3386888455642811E-2</v>
      </c>
      <c r="M55" s="10">
        <f t="shared" ca="1" si="20"/>
        <v>1.3386888455642811E-2</v>
      </c>
    </row>
    <row r="56" spans="1:13">
      <c r="A56" s="8">
        <v>34</v>
      </c>
      <c r="B56" s="8">
        <f t="shared" si="0"/>
        <v>99</v>
      </c>
      <c r="C56" s="9">
        <f t="shared" ca="1" si="12"/>
        <v>0.26362999999999998</v>
      </c>
      <c r="D56" s="16">
        <f t="shared" si="13"/>
        <v>5.5E-2</v>
      </c>
      <c r="E56" s="2" t="b">
        <f t="shared" si="14"/>
        <v>0</v>
      </c>
      <c r="F56" s="10">
        <f t="shared" ca="1" si="21"/>
        <v>6.7998639552912035E-2</v>
      </c>
      <c r="G56" s="10">
        <f t="shared" si="4"/>
        <v>0.16196320882625295</v>
      </c>
      <c r="H56" s="10">
        <f t="shared" ca="1" si="15"/>
        <v>0.86157464454976296</v>
      </c>
      <c r="I56" s="10">
        <f t="shared" si="16"/>
        <v>1</v>
      </c>
      <c r="J56" s="2" t="b">
        <f t="shared" si="17"/>
        <v>1</v>
      </c>
      <c r="K56" s="10">
        <f t="shared" si="18"/>
        <v>0</v>
      </c>
      <c r="L56" s="10">
        <f t="shared" ca="1" si="19"/>
        <v>9.4887609556699049E-3</v>
      </c>
      <c r="M56" s="10">
        <f t="shared" ca="1" si="20"/>
        <v>9.4887609556699049E-3</v>
      </c>
    </row>
    <row r="57" spans="1:13">
      <c r="A57" s="8">
        <v>35</v>
      </c>
      <c r="B57" s="8">
        <f t="shared" si="0"/>
        <v>100</v>
      </c>
      <c r="C57" s="9">
        <f t="shared" ca="1" si="12"/>
        <v>0.28251999999999999</v>
      </c>
      <c r="D57" s="16">
        <f t="shared" si="13"/>
        <v>5.5E-2</v>
      </c>
      <c r="E57" s="2" t="b">
        <f t="shared" si="14"/>
        <v>0</v>
      </c>
      <c r="F57" s="10">
        <f t="shared" ca="1" si="21"/>
        <v>5.0072158207577835E-2</v>
      </c>
      <c r="G57" s="10">
        <f t="shared" si="4"/>
        <v>0.15351962921919712</v>
      </c>
      <c r="H57" s="10">
        <f t="shared" ca="1" si="15"/>
        <v>0.85336808846761447</v>
      </c>
      <c r="I57" s="10">
        <f t="shared" si="16"/>
        <v>1</v>
      </c>
      <c r="J57" s="2" t="b">
        <f t="shared" si="17"/>
        <v>1</v>
      </c>
      <c r="K57" s="10">
        <f t="shared" si="18"/>
        <v>0</v>
      </c>
      <c r="L57" s="10">
        <f t="shared" ca="1" si="19"/>
        <v>6.5598909832116628E-3</v>
      </c>
      <c r="M57" s="10">
        <f t="shared" ca="1" si="20"/>
        <v>6.5598909832116628E-3</v>
      </c>
    </row>
    <row r="58" spans="1:13">
      <c r="A58" s="8">
        <v>36</v>
      </c>
      <c r="B58" s="8">
        <f t="shared" si="0"/>
        <v>101</v>
      </c>
      <c r="C58" s="9">
        <f t="shared" ca="1" si="12"/>
        <v>0.30177999999999999</v>
      </c>
      <c r="D58" s="16">
        <f t="shared" si="13"/>
        <v>5.5E-2</v>
      </c>
      <c r="E58" s="2" t="b">
        <f t="shared" si="14"/>
        <v>0</v>
      </c>
      <c r="F58" s="10">
        <f t="shared" ca="1" si="21"/>
        <v>3.5925772070772945E-2</v>
      </c>
      <c r="G58" s="10">
        <f t="shared" si="4"/>
        <v>0.14551623622672713</v>
      </c>
      <c r="H58" s="10">
        <f t="shared" ca="1" si="15"/>
        <v>0.8450007898894154</v>
      </c>
      <c r="I58" s="10">
        <f t="shared" si="16"/>
        <v>1</v>
      </c>
      <c r="J58" s="2" t="b">
        <f t="shared" si="17"/>
        <v>1</v>
      </c>
      <c r="K58" s="10">
        <f t="shared" si="18"/>
        <v>0</v>
      </c>
      <c r="L58" s="10">
        <f t="shared" ca="1" si="19"/>
        <v>4.4174808786806028E-3</v>
      </c>
      <c r="M58" s="10">
        <f t="shared" ca="1" si="20"/>
        <v>4.4174808786806028E-3</v>
      </c>
    </row>
    <row r="59" spans="1:13">
      <c r="A59" s="8">
        <v>37</v>
      </c>
      <c r="B59" s="8">
        <f t="shared" si="0"/>
        <v>102</v>
      </c>
      <c r="C59" s="9">
        <f t="shared" ca="1" si="12"/>
        <v>0.32124999999999998</v>
      </c>
      <c r="D59" s="16">
        <f t="shared" si="13"/>
        <v>5.5E-2</v>
      </c>
      <c r="E59" s="2" t="b">
        <f t="shared" si="14"/>
        <v>0</v>
      </c>
      <c r="F59" s="10">
        <f t="shared" ca="1" si="21"/>
        <v>2.5084092575255089E-2</v>
      </c>
      <c r="G59" s="10">
        <f t="shared" si="4"/>
        <v>0.1379300817314949</v>
      </c>
      <c r="H59" s="10">
        <f t="shared" ca="1" si="15"/>
        <v>0.83654225908372826</v>
      </c>
      <c r="I59" s="10">
        <f t="shared" si="16"/>
        <v>1</v>
      </c>
      <c r="J59" s="2" t="b">
        <f t="shared" si="17"/>
        <v>1</v>
      </c>
      <c r="K59" s="10">
        <f t="shared" si="18"/>
        <v>0</v>
      </c>
      <c r="L59" s="10">
        <f t="shared" ca="1" si="19"/>
        <v>2.8943115206586604E-3</v>
      </c>
      <c r="M59" s="10">
        <f t="shared" ca="1" si="20"/>
        <v>2.8943115206586604E-3</v>
      </c>
    </row>
    <row r="60" spans="1:13">
      <c r="A60" s="8">
        <v>38</v>
      </c>
      <c r="B60" s="8">
        <f t="shared" si="0"/>
        <v>103</v>
      </c>
      <c r="C60" s="9">
        <f t="shared" ca="1" si="12"/>
        <v>0.34060000000000001</v>
      </c>
      <c r="D60" s="16">
        <f t="shared" si="13"/>
        <v>5.5E-2</v>
      </c>
      <c r="E60" s="2" t="b">
        <f t="shared" si="14"/>
        <v>0</v>
      </c>
      <c r="F60" s="10">
        <f t="shared" ca="1" si="21"/>
        <v>1.702582783545439E-2</v>
      </c>
      <c r="G60" s="10">
        <f t="shared" si="4"/>
        <v>0.1307394139635023</v>
      </c>
      <c r="H60" s="10">
        <f t="shared" ca="1" si="15"/>
        <v>0.8281358609794629</v>
      </c>
      <c r="I60" s="10">
        <f t="shared" si="16"/>
        <v>1</v>
      </c>
      <c r="J60" s="2" t="b">
        <f t="shared" si="17"/>
        <v>1</v>
      </c>
      <c r="K60" s="10">
        <f t="shared" si="18"/>
        <v>0</v>
      </c>
      <c r="L60" s="10">
        <f t="shared" ca="1" si="19"/>
        <v>1.8433863311634116E-3</v>
      </c>
      <c r="M60" s="10">
        <f t="shared" ca="1" si="20"/>
        <v>1.8433863311634116E-3</v>
      </c>
    </row>
    <row r="61" spans="1:13">
      <c r="A61" s="8">
        <v>39</v>
      </c>
      <c r="B61" s="8">
        <f t="shared" si="0"/>
        <v>104</v>
      </c>
      <c r="C61" s="9">
        <f t="shared" ca="1" si="12"/>
        <v>0.35976999999999998</v>
      </c>
      <c r="D61" s="16">
        <f t="shared" si="13"/>
        <v>5.5E-2</v>
      </c>
      <c r="E61" s="2" t="b">
        <f t="shared" si="14"/>
        <v>0</v>
      </c>
      <c r="F61" s="10">
        <f t="shared" ca="1" si="21"/>
        <v>1.1226830874698624E-2</v>
      </c>
      <c r="G61" s="10">
        <f t="shared" si="4"/>
        <v>0.12392361513128179</v>
      </c>
      <c r="H61" s="10">
        <f t="shared" ca="1" si="15"/>
        <v>0.81980766192733023</v>
      </c>
      <c r="I61" s="10">
        <f t="shared" si="16"/>
        <v>1</v>
      </c>
      <c r="J61" s="2" t="b">
        <f t="shared" si="17"/>
        <v>1</v>
      </c>
      <c r="K61" s="10">
        <f t="shared" si="18"/>
        <v>0</v>
      </c>
      <c r="L61" s="10">
        <f t="shared" ca="1" si="19"/>
        <v>1.1405733700491903E-3</v>
      </c>
      <c r="M61" s="10">
        <f t="shared" ca="1" si="20"/>
        <v>1.1405733700491903E-3</v>
      </c>
    </row>
    <row r="62" spans="1:13">
      <c r="A62" s="8">
        <v>40</v>
      </c>
      <c r="B62" s="8">
        <f t="shared" si="0"/>
        <v>105</v>
      </c>
      <c r="C62" s="9">
        <f t="shared" ca="1" si="12"/>
        <v>0.37872</v>
      </c>
      <c r="D62" s="16">
        <f t="shared" si="13"/>
        <v>5.5E-2</v>
      </c>
      <c r="E62" s="2" t="b">
        <f t="shared" si="14"/>
        <v>0</v>
      </c>
      <c r="F62" s="10">
        <f t="shared" ca="1" si="21"/>
        <v>7.1877539309083008E-3</v>
      </c>
      <c r="G62" s="10">
        <f t="shared" si="4"/>
        <v>0.1174631423045325</v>
      </c>
      <c r="H62" s="10">
        <f t="shared" ca="1" si="15"/>
        <v>0.81157503949447074</v>
      </c>
      <c r="I62" s="10">
        <f t="shared" si="16"/>
        <v>1</v>
      </c>
      <c r="J62" s="2" t="b">
        <f t="shared" si="17"/>
        <v>1</v>
      </c>
      <c r="K62" s="10">
        <f t="shared" si="18"/>
        <v>0</v>
      </c>
      <c r="L62" s="10">
        <f t="shared" ca="1" si="19"/>
        <v>6.852096916988553E-4</v>
      </c>
      <c r="M62" s="10">
        <f t="shared" ca="1" si="20"/>
        <v>6.852096916988553E-4</v>
      </c>
    </row>
    <row r="63" spans="1:13">
      <c r="A63" s="8">
        <v>41</v>
      </c>
      <c r="B63" s="8">
        <f t="shared" si="0"/>
        <v>106</v>
      </c>
      <c r="C63" s="9">
        <f t="shared" ca="1" si="12"/>
        <v>0.39715</v>
      </c>
      <c r="D63" s="16">
        <f t="shared" si="13"/>
        <v>5.5E-2</v>
      </c>
      <c r="E63" s="2" t="b">
        <f t="shared" si="14"/>
        <v>0</v>
      </c>
      <c r="F63" s="10">
        <f t="shared" ca="1" si="21"/>
        <v>4.4656077621947092E-3</v>
      </c>
      <c r="G63" s="10">
        <f t="shared" si="4"/>
        <v>0.11133947137870381</v>
      </c>
      <c r="H63" s="10">
        <f t="shared" ca="1" si="15"/>
        <v>0.80356832543443912</v>
      </c>
      <c r="I63" s="10">
        <f t="shared" si="16"/>
        <v>1</v>
      </c>
      <c r="J63" s="2" t="b">
        <f t="shared" si="17"/>
        <v>1</v>
      </c>
      <c r="K63" s="10">
        <f t="shared" si="18"/>
        <v>0</v>
      </c>
      <c r="L63" s="10">
        <f t="shared" ca="1" si="19"/>
        <v>3.995328918258158E-4</v>
      </c>
      <c r="M63" s="10">
        <f t="shared" ca="1" si="20"/>
        <v>3.995328918258158E-4</v>
      </c>
    </row>
    <row r="64" spans="1:13">
      <c r="A64" s="8">
        <v>42</v>
      </c>
      <c r="B64" s="8">
        <f t="shared" si="0"/>
        <v>107</v>
      </c>
      <c r="C64" s="9">
        <f t="shared" ca="1" si="12"/>
        <v>0.41511999999999999</v>
      </c>
      <c r="D64" s="16">
        <f t="shared" si="13"/>
        <v>5.5E-2</v>
      </c>
      <c r="E64" s="2" t="b">
        <f t="shared" si="14"/>
        <v>0</v>
      </c>
      <c r="F64" s="10">
        <f t="shared" ca="1" si="21"/>
        <v>2.6920916394390804E-3</v>
      </c>
      <c r="G64" s="10">
        <f t="shared" si="4"/>
        <v>0.10553504396085669</v>
      </c>
      <c r="H64" s="10">
        <f t="shared" ca="1" si="15"/>
        <v>0.79576145339652449</v>
      </c>
      <c r="I64" s="10">
        <f t="shared" si="16"/>
        <v>1</v>
      </c>
      <c r="J64" s="2" t="b">
        <f t="shared" si="17"/>
        <v>1</v>
      </c>
      <c r="K64" s="10">
        <f t="shared" si="18"/>
        <v>0</v>
      </c>
      <c r="L64" s="10">
        <f t="shared" ca="1" si="19"/>
        <v>2.2608379409604388E-4</v>
      </c>
      <c r="M64" s="10">
        <f t="shared" ca="1" si="20"/>
        <v>2.2608379409604388E-4</v>
      </c>
    </row>
    <row r="65" spans="1:13">
      <c r="A65" s="8">
        <v>43</v>
      </c>
      <c r="B65" s="8">
        <f t="shared" si="0"/>
        <v>108</v>
      </c>
      <c r="C65" s="9">
        <f t="shared" ca="1" si="12"/>
        <v>0.43240000000000001</v>
      </c>
      <c r="D65" s="16">
        <f t="shared" si="13"/>
        <v>5.5E-2</v>
      </c>
      <c r="E65" s="2" t="b">
        <f t="shared" si="14"/>
        <v>0</v>
      </c>
      <c r="F65" s="10">
        <f t="shared" ca="1" si="21"/>
        <v>1.5745505580751296E-3</v>
      </c>
      <c r="G65" s="10">
        <f t="shared" si="4"/>
        <v>0.10003321702450872</v>
      </c>
      <c r="H65" s="10">
        <f t="shared" ca="1" si="15"/>
        <v>0.7882543443917851</v>
      </c>
      <c r="I65" s="10">
        <f t="shared" si="16"/>
        <v>1</v>
      </c>
      <c r="J65" s="2" t="b">
        <f t="shared" si="17"/>
        <v>1</v>
      </c>
      <c r="K65" s="10">
        <f t="shared" si="18"/>
        <v>0</v>
      </c>
      <c r="L65" s="10">
        <f t="shared" ca="1" si="19"/>
        <v>1.2415585897438257E-4</v>
      </c>
      <c r="M65" s="10">
        <f t="shared" ca="1" si="20"/>
        <v>1.2415585897438257E-4</v>
      </c>
    </row>
    <row r="66" spans="1:13">
      <c r="A66" s="8">
        <v>44</v>
      </c>
      <c r="B66" s="8">
        <f t="shared" si="0"/>
        <v>109</v>
      </c>
      <c r="C66" s="9">
        <f t="shared" ca="1" si="12"/>
        <v>0.44895000000000002</v>
      </c>
      <c r="D66" s="16">
        <f t="shared" si="13"/>
        <v>5.5E-2</v>
      </c>
      <c r="E66" s="2" t="b">
        <f t="shared" si="14"/>
        <v>0</v>
      </c>
      <c r="F66" s="10">
        <f t="shared" ca="1" si="21"/>
        <v>8.9371489676344355E-4</v>
      </c>
      <c r="G66" s="10">
        <f t="shared" si="4"/>
        <v>9.4818215189107796E-2</v>
      </c>
      <c r="H66" s="10">
        <f t="shared" ca="1" si="15"/>
        <v>0.78106437598736178</v>
      </c>
      <c r="I66" s="10">
        <f t="shared" si="16"/>
        <v>1</v>
      </c>
      <c r="J66" s="2" t="b">
        <f t="shared" si="17"/>
        <v>1</v>
      </c>
      <c r="K66" s="10">
        <f t="shared" si="18"/>
        <v>0</v>
      </c>
      <c r="L66" s="10">
        <f t="shared" ca="1" si="19"/>
        <v>6.6187747792868733E-5</v>
      </c>
      <c r="M66" s="10">
        <f t="shared" ca="1" si="20"/>
        <v>6.6187747792868733E-5</v>
      </c>
    </row>
    <row r="67" spans="1:13">
      <c r="A67" s="8">
        <v>45</v>
      </c>
      <c r="B67" s="8">
        <f t="shared" si="0"/>
        <v>110</v>
      </c>
      <c r="C67" s="9">
        <f t="shared" ca="1" si="12"/>
        <v>0.46478999999999998</v>
      </c>
      <c r="D67" s="16">
        <f t="shared" si="13"/>
        <v>5.5E-2</v>
      </c>
      <c r="E67" s="2" t="b">
        <f t="shared" si="14"/>
        <v>0</v>
      </c>
      <c r="F67" s="10">
        <f t="shared" ca="1" si="21"/>
        <v>4.9248159386149559E-4</v>
      </c>
      <c r="G67" s="10">
        <f t="shared" si="4"/>
        <v>8.9875085487305981E-2</v>
      </c>
      <c r="H67" s="10">
        <f t="shared" ca="1" si="15"/>
        <v>0.77418285939968401</v>
      </c>
      <c r="I67" s="10">
        <f t="shared" si="16"/>
        <v>1</v>
      </c>
      <c r="J67" s="2" t="b">
        <f t="shared" si="17"/>
        <v>1</v>
      </c>
      <c r="K67" s="10">
        <f t="shared" si="18"/>
        <v>0</v>
      </c>
      <c r="L67" s="10">
        <f t="shared" ca="1" si="19"/>
        <v>3.4266746511113681E-5</v>
      </c>
      <c r="M67" s="10">
        <f t="shared" ca="1" si="20"/>
        <v>3.4266746511113681E-5</v>
      </c>
    </row>
    <row r="68" spans="1:13">
      <c r="A68" s="8">
        <v>46</v>
      </c>
      <c r="B68" s="8">
        <f t="shared" si="0"/>
        <v>111</v>
      </c>
      <c r="C68" s="9">
        <f t="shared" ca="1" si="12"/>
        <v>0.47744999999999999</v>
      </c>
      <c r="D68" s="16">
        <f t="shared" si="13"/>
        <v>5.5E-2</v>
      </c>
      <c r="E68" s="2" t="b">
        <f t="shared" si="14"/>
        <v>0</v>
      </c>
      <c r="F68" s="10">
        <f t="shared" ca="1" si="21"/>
        <v>2.6358107385061105E-4</v>
      </c>
      <c r="G68" s="10">
        <f t="shared" si="4"/>
        <v>8.5189654490337413E-2</v>
      </c>
      <c r="H68" s="10">
        <f t="shared" ca="1" si="15"/>
        <v>0.76868285939968406</v>
      </c>
      <c r="I68" s="10">
        <f t="shared" si="16"/>
        <v>1</v>
      </c>
      <c r="J68" s="2" t="b">
        <f t="shared" si="17"/>
        <v>1</v>
      </c>
      <c r="K68" s="10">
        <f t="shared" si="18"/>
        <v>0</v>
      </c>
      <c r="L68" s="10">
        <f t="shared" ca="1" si="19"/>
        <v>1.7260297494516374E-5</v>
      </c>
      <c r="M68" s="10">
        <f t="shared" ca="1" si="20"/>
        <v>1.7260297494516374E-5</v>
      </c>
    </row>
    <row r="69" spans="1:13">
      <c r="A69" s="8">
        <v>47</v>
      </c>
      <c r="B69" s="8">
        <f t="shared" si="0"/>
        <v>112</v>
      </c>
      <c r="C69" s="9">
        <f t="shared" ca="1" si="12"/>
        <v>0.48570999999999998</v>
      </c>
      <c r="D69" s="16">
        <f t="shared" si="13"/>
        <v>5.5E-2</v>
      </c>
      <c r="E69" s="2" t="b">
        <f t="shared" si="14"/>
        <v>0</v>
      </c>
      <c r="F69" s="10">
        <f t="shared" ca="1" si="21"/>
        <v>1.3773429014063681E-4</v>
      </c>
      <c r="G69" s="10">
        <f t="shared" si="4"/>
        <v>8.0748487668566279E-2</v>
      </c>
      <c r="H69" s="10">
        <f t="shared" ca="1" si="15"/>
        <v>0.76509439178515004</v>
      </c>
      <c r="I69" s="10">
        <f t="shared" si="16"/>
        <v>1</v>
      </c>
      <c r="J69" s="2" t="b">
        <f t="shared" si="17"/>
        <v>1</v>
      </c>
      <c r="K69" s="10">
        <f t="shared" si="18"/>
        <v>0</v>
      </c>
      <c r="L69" s="10">
        <f t="shared" ca="1" si="19"/>
        <v>8.5092540660735174E-6</v>
      </c>
      <c r="M69" s="10">
        <f t="shared" ca="1" si="20"/>
        <v>8.5092540660735174E-6</v>
      </c>
    </row>
    <row r="70" spans="1:13">
      <c r="A70" s="8">
        <v>48</v>
      </c>
      <c r="B70" s="8">
        <f t="shared" si="0"/>
        <v>113</v>
      </c>
      <c r="C70" s="9">
        <f t="shared" ca="1" si="12"/>
        <v>0.49352000000000001</v>
      </c>
      <c r="D70" s="16">
        <f t="shared" si="13"/>
        <v>5.5E-2</v>
      </c>
      <c r="E70" s="2" t="b">
        <f t="shared" si="14"/>
        <v>0</v>
      </c>
      <c r="F70" s="10">
        <f t="shared" ca="1" si="21"/>
        <v>7.083536807642811E-5</v>
      </c>
      <c r="G70" s="10">
        <f t="shared" si="4"/>
        <v>7.6538850870678937E-2</v>
      </c>
      <c r="H70" s="10">
        <f t="shared" ca="1" si="15"/>
        <v>0.76170142180094791</v>
      </c>
      <c r="I70" s="10">
        <f t="shared" si="16"/>
        <v>1</v>
      </c>
      <c r="J70" s="2" t="b">
        <f t="shared" si="17"/>
        <v>1</v>
      </c>
      <c r="K70" s="10">
        <f t="shared" si="18"/>
        <v>0</v>
      </c>
      <c r="L70" s="10">
        <f t="shared" ca="1" si="19"/>
        <v>4.1296843584773419E-6</v>
      </c>
      <c r="M70" s="10">
        <f t="shared" ca="1" si="20"/>
        <v>4.1296843584773419E-6</v>
      </c>
    </row>
    <row r="71" spans="1:13">
      <c r="A71" s="8">
        <v>49</v>
      </c>
      <c r="B71" s="8">
        <f t="shared" si="0"/>
        <v>114</v>
      </c>
      <c r="C71" s="9">
        <f t="shared" ca="1" si="12"/>
        <v>0.49724000000000002</v>
      </c>
      <c r="D71" s="16">
        <f t="shared" si="13"/>
        <v>5.5E-2</v>
      </c>
      <c r="E71" s="2" t="b">
        <f t="shared" si="14"/>
        <v>0</v>
      </c>
      <c r="F71" s="10">
        <f t="shared" ca="1" si="21"/>
        <v>3.5876697223349314E-5</v>
      </c>
      <c r="G71" s="10">
        <f t="shared" si="4"/>
        <v>7.2548673811070094E-2</v>
      </c>
      <c r="H71" s="10">
        <f t="shared" ca="1" si="15"/>
        <v>0.76008530805687202</v>
      </c>
      <c r="I71" s="10">
        <f t="shared" si="16"/>
        <v>1</v>
      </c>
      <c r="J71" s="2" t="b">
        <f t="shared" si="17"/>
        <v>1</v>
      </c>
      <c r="K71" s="10">
        <f t="shared" si="18"/>
        <v>0</v>
      </c>
      <c r="L71" s="10">
        <f t="shared" ca="1" si="19"/>
        <v>1.978355211640109E-6</v>
      </c>
      <c r="M71" s="10">
        <f t="shared" ca="1" si="20"/>
        <v>1.978355211640109E-6</v>
      </c>
    </row>
    <row r="72" spans="1:13">
      <c r="A72" s="8">
        <v>50</v>
      </c>
      <c r="B72" s="8">
        <f t="shared" si="0"/>
        <v>115</v>
      </c>
      <c r="C72" s="9">
        <f t="shared" ca="1" si="12"/>
        <v>0.49840000000000001</v>
      </c>
      <c r="D72" s="16">
        <f t="shared" si="13"/>
        <v>5.5E-2</v>
      </c>
      <c r="E72" s="2" t="b">
        <f t="shared" si="14"/>
        <v>0</v>
      </c>
      <c r="F72" s="10">
        <f t="shared" ca="1" si="21"/>
        <v>1.80373682960111E-5</v>
      </c>
      <c r="G72" s="10">
        <f t="shared" si="4"/>
        <v>6.8766515460729941E-2</v>
      </c>
      <c r="H72" s="10">
        <f t="shared" ca="1" si="15"/>
        <v>0.75958135860979459</v>
      </c>
      <c r="I72" s="10">
        <f t="shared" si="16"/>
        <v>1</v>
      </c>
      <c r="J72" s="2" t="b">
        <f t="shared" si="17"/>
        <v>1</v>
      </c>
      <c r="K72" s="10">
        <f t="shared" si="18"/>
        <v>0</v>
      </c>
      <c r="L72" s="10">
        <f t="shared" ca="1" si="19"/>
        <v>9.4215962505595397E-7</v>
      </c>
      <c r="M72" s="10">
        <f t="shared" ca="1" si="20"/>
        <v>9.4215962505595397E-7</v>
      </c>
    </row>
    <row r="73" spans="1:13">
      <c r="A73" s="8">
        <v>51</v>
      </c>
      <c r="B73" s="8">
        <f t="shared" si="0"/>
        <v>116</v>
      </c>
      <c r="C73" s="9">
        <f t="shared" ca="1" si="12"/>
        <v>0.49952999999999997</v>
      </c>
      <c r="D73" s="16">
        <f t="shared" si="13"/>
        <v>5.5E-2</v>
      </c>
      <c r="E73" s="2" t="b">
        <f t="shared" si="14"/>
        <v>0</v>
      </c>
      <c r="F73" s="10">
        <f t="shared" ca="1" si="21"/>
        <v>9.0475439372791683E-6</v>
      </c>
      <c r="G73" s="10">
        <f t="shared" si="4"/>
        <v>6.5181531242398047E-2</v>
      </c>
      <c r="H73" s="10">
        <f t="shared" ca="1" si="15"/>
        <v>0.75909044233807266</v>
      </c>
      <c r="I73" s="10">
        <f t="shared" si="16"/>
        <v>1</v>
      </c>
      <c r="J73" s="2" t="b">
        <f t="shared" si="17"/>
        <v>1</v>
      </c>
      <c r="K73" s="10">
        <f t="shared" si="18"/>
        <v>0</v>
      </c>
      <c r="L73" s="10">
        <f t="shared" ca="1" si="19"/>
        <v>4.4766050758174018E-7</v>
      </c>
      <c r="M73" s="10">
        <f t="shared" ca="1" si="20"/>
        <v>4.4766050758174018E-7</v>
      </c>
    </row>
    <row r="74" spans="1:13">
      <c r="A74" s="8">
        <v>52</v>
      </c>
      <c r="B74" s="8">
        <f t="shared" si="0"/>
        <v>117</v>
      </c>
      <c r="C74" s="9">
        <f t="shared" ca="1" si="12"/>
        <v>0.49975000000000003</v>
      </c>
      <c r="D74" s="16">
        <f t="shared" si="13"/>
        <v>5.5E-2</v>
      </c>
      <c r="E74" s="2" t="b">
        <f t="shared" si="14"/>
        <v>0</v>
      </c>
      <c r="F74" s="10">
        <f t="shared" ca="1" si="21"/>
        <v>4.528024314290105E-6</v>
      </c>
      <c r="G74" s="10">
        <f t="shared" si="4"/>
        <v>6.1783441935922327E-2</v>
      </c>
      <c r="H74" s="10">
        <f t="shared" ca="1" si="15"/>
        <v>0.75899486571879926</v>
      </c>
      <c r="I74" s="10">
        <f t="shared" si="16"/>
        <v>1</v>
      </c>
      <c r="J74" s="2" t="b">
        <f t="shared" si="17"/>
        <v>1</v>
      </c>
      <c r="K74" s="10">
        <f t="shared" si="18"/>
        <v>0</v>
      </c>
      <c r="L74" s="10">
        <f t="shared" ca="1" si="19"/>
        <v>2.1233407147481524E-7</v>
      </c>
      <c r="M74" s="10">
        <f t="shared" ca="1" si="20"/>
        <v>2.1233407147481524E-7</v>
      </c>
    </row>
    <row r="75" spans="1:13">
      <c r="A75" s="8">
        <v>53</v>
      </c>
      <c r="B75" s="8">
        <f t="shared" si="0"/>
        <v>118</v>
      </c>
      <c r="C75" s="9">
        <f t="shared" ca="1" si="12"/>
        <v>0.49987999999999999</v>
      </c>
      <c r="D75" s="16">
        <f t="shared" si="13"/>
        <v>5.5E-2</v>
      </c>
      <c r="E75" s="2" t="b">
        <f t="shared" si="14"/>
        <v>0</v>
      </c>
      <c r="F75" s="10">
        <f t="shared" ca="1" si="21"/>
        <v>2.2651441632236251E-6</v>
      </c>
      <c r="G75" s="10">
        <f t="shared" si="4"/>
        <v>5.8562504204665709E-2</v>
      </c>
      <c r="H75" s="10">
        <f t="shared" ca="1" si="15"/>
        <v>0.75893838862559238</v>
      </c>
      <c r="I75" s="10">
        <f t="shared" si="16"/>
        <v>1</v>
      </c>
      <c r="J75" s="2" t="b">
        <f t="shared" si="17"/>
        <v>1</v>
      </c>
      <c r="K75" s="10">
        <f t="shared" si="18"/>
        <v>0</v>
      </c>
      <c r="L75" s="10">
        <f t="shared" ca="1" si="19"/>
        <v>1.0067508566472268E-7</v>
      </c>
      <c r="M75" s="10">
        <f t="shared" ca="1" si="20"/>
        <v>1.0067508566472268E-7</v>
      </c>
    </row>
    <row r="76" spans="1:13">
      <c r="A76" s="8">
        <v>54</v>
      </c>
      <c r="B76" s="8">
        <f t="shared" si="0"/>
        <v>119</v>
      </c>
      <c r="C76" s="9">
        <f t="shared" ca="1" si="12"/>
        <v>0.49995000000000001</v>
      </c>
      <c r="D76" s="16">
        <f t="shared" si="13"/>
        <v>5.5E-2</v>
      </c>
      <c r="E76" s="2" t="b">
        <f t="shared" si="14"/>
        <v>0</v>
      </c>
      <c r="F76" s="10">
        <f t="shared" ca="1" si="21"/>
        <v>1.1328438989113994E-6</v>
      </c>
      <c r="G76" s="10">
        <f t="shared" si="4"/>
        <v>5.5509482658450918E-2</v>
      </c>
      <c r="H76" s="10">
        <f t="shared" ca="1" si="15"/>
        <v>0.75890797788309627</v>
      </c>
      <c r="I76" s="10">
        <f t="shared" si="16"/>
        <v>1</v>
      </c>
      <c r="J76" s="2" t="b">
        <f t="shared" si="17"/>
        <v>1</v>
      </c>
      <c r="K76" s="10">
        <f t="shared" si="18"/>
        <v>0</v>
      </c>
      <c r="L76" s="10">
        <f t="shared" ca="1" si="19"/>
        <v>4.772284959983178E-8</v>
      </c>
      <c r="M76" s="10">
        <f t="shared" ca="1" si="20"/>
        <v>4.772284959983178E-8</v>
      </c>
    </row>
    <row r="77" spans="1:13">
      <c r="A77" s="8">
        <v>55</v>
      </c>
      <c r="B77" s="8">
        <f t="shared" si="0"/>
        <v>120</v>
      </c>
      <c r="C77" s="9">
        <f t="shared" ca="1" si="12"/>
        <v>0.5</v>
      </c>
      <c r="D77" s="16">
        <f t="shared" si="13"/>
        <v>5.5E-2</v>
      </c>
      <c r="E77" s="2" t="b">
        <f t="shared" si="14"/>
        <v>0</v>
      </c>
      <c r="F77" s="10">
        <f t="shared" ca="1" si="21"/>
        <v>5.6647859165064523E-7</v>
      </c>
      <c r="G77" s="10">
        <f t="shared" si="4"/>
        <v>5.2615623372939263E-2</v>
      </c>
      <c r="H77" s="10">
        <f t="shared" ca="1" si="15"/>
        <v>0.75888625592417058</v>
      </c>
      <c r="I77" s="10">
        <f t="shared" si="16"/>
        <v>1</v>
      </c>
      <c r="J77" s="2" t="b">
        <f t="shared" si="17"/>
        <v>1</v>
      </c>
      <c r="K77" s="10">
        <f t="shared" si="18"/>
        <v>0</v>
      </c>
      <c r="L77" s="10">
        <f t="shared" ca="1" si="19"/>
        <v>2.2619078575204428E-8</v>
      </c>
      <c r="M77" s="10">
        <f t="shared" ca="1" si="20"/>
        <v>2.2619078575204428E-8</v>
      </c>
    </row>
    <row r="78" spans="1:13">
      <c r="A78" s="8">
        <v>56</v>
      </c>
      <c r="B78" s="8">
        <f t="shared" si="0"/>
        <v>121</v>
      </c>
      <c r="C78" s="9">
        <f t="shared" ca="1" si="12"/>
        <v>0.5</v>
      </c>
      <c r="D78" s="16">
        <f t="shared" si="13"/>
        <v>5.5E-2</v>
      </c>
      <c r="E78" s="2" t="b">
        <f t="shared" si="14"/>
        <v>0</v>
      </c>
      <c r="F78" s="10">
        <f t="shared" ca="1" si="21"/>
        <v>2.8323929582532262E-7</v>
      </c>
      <c r="G78" s="10">
        <f t="shared" si="4"/>
        <v>4.9872628789515885E-2</v>
      </c>
      <c r="H78" s="10">
        <f t="shared" ca="1" si="15"/>
        <v>0.75888625592417058</v>
      </c>
      <c r="I78" s="10">
        <f t="shared" si="16"/>
        <v>1</v>
      </c>
      <c r="J78" s="2" t="b">
        <f t="shared" si="17"/>
        <v>1</v>
      </c>
      <c r="K78" s="10">
        <f t="shared" si="18"/>
        <v>0</v>
      </c>
      <c r="L78" s="10">
        <f t="shared" ca="1" si="19"/>
        <v>1.0719942452703522E-8</v>
      </c>
      <c r="M78" s="10">
        <f t="shared" ca="1" si="20"/>
        <v>1.0719942452703522E-8</v>
      </c>
    </row>
    <row r="79" spans="1:13">
      <c r="A79" s="8">
        <v>57</v>
      </c>
      <c r="B79" s="8">
        <f t="shared" si="0"/>
        <v>122</v>
      </c>
      <c r="C79" s="9">
        <f t="shared" ca="1" si="12"/>
        <v>0.5</v>
      </c>
      <c r="D79" s="16">
        <f t="shared" si="13"/>
        <v>5.5E-2</v>
      </c>
      <c r="E79" s="2" t="b">
        <f t="shared" si="14"/>
        <v>0</v>
      </c>
      <c r="F79" s="10">
        <f t="shared" ca="1" si="21"/>
        <v>1.4161964791266131E-7</v>
      </c>
      <c r="G79" s="10">
        <f t="shared" si="4"/>
        <v>4.727263392371174E-2</v>
      </c>
      <c r="H79" s="10">
        <f t="shared" ca="1" si="15"/>
        <v>0.75888625592417058</v>
      </c>
      <c r="I79" s="10">
        <f t="shared" si="16"/>
        <v>1</v>
      </c>
      <c r="J79" s="2" t="b">
        <f t="shared" si="17"/>
        <v>1</v>
      </c>
      <c r="K79" s="10">
        <f t="shared" si="18"/>
        <v>0</v>
      </c>
      <c r="L79" s="10">
        <f t="shared" ca="1" si="19"/>
        <v>5.0805414467789202E-9</v>
      </c>
      <c r="M79" s="10">
        <f t="shared" ca="1" si="20"/>
        <v>5.0805414467789202E-9</v>
      </c>
    </row>
    <row r="80" spans="1:13">
      <c r="A80" s="8">
        <v>58</v>
      </c>
      <c r="B80" s="8">
        <f t="shared" si="0"/>
        <v>123</v>
      </c>
      <c r="C80" s="9">
        <f t="shared" ca="1" si="12"/>
        <v>0.5</v>
      </c>
      <c r="D80" s="16">
        <f t="shared" si="13"/>
        <v>5.5E-2</v>
      </c>
      <c r="E80" s="2" t="b">
        <f t="shared" si="14"/>
        <v>0</v>
      </c>
      <c r="F80" s="10">
        <f t="shared" ca="1" si="21"/>
        <v>7.0809823956330654E-8</v>
      </c>
      <c r="G80" s="10">
        <f t="shared" si="4"/>
        <v>4.4808183813944774E-2</v>
      </c>
      <c r="H80" s="10">
        <f t="shared" ca="1" si="15"/>
        <v>0.75888625592417058</v>
      </c>
      <c r="I80" s="10">
        <f t="shared" si="16"/>
        <v>1</v>
      </c>
      <c r="J80" s="2" t="b">
        <f t="shared" si="17"/>
        <v>1</v>
      </c>
      <c r="K80" s="10">
        <f t="shared" si="18"/>
        <v>0</v>
      </c>
      <c r="L80" s="10">
        <f t="shared" ca="1" si="19"/>
        <v>2.4078395482364548E-9</v>
      </c>
      <c r="M80" s="10">
        <f t="shared" ca="1" si="20"/>
        <v>2.4078395482364548E-9</v>
      </c>
    </row>
    <row r="81" spans="1:13">
      <c r="A81" s="8">
        <v>59</v>
      </c>
      <c r="B81" s="8">
        <f t="shared" si="0"/>
        <v>124</v>
      </c>
      <c r="C81" s="9">
        <f t="shared" ca="1" si="12"/>
        <v>0.5</v>
      </c>
      <c r="D81" s="16">
        <f t="shared" si="13"/>
        <v>5.5E-2</v>
      </c>
      <c r="E81" s="2" t="b">
        <f t="shared" si="14"/>
        <v>0</v>
      </c>
      <c r="F81" s="10">
        <f t="shared" ca="1" si="21"/>
        <v>3.5404911978165327E-8</v>
      </c>
      <c r="G81" s="10">
        <f t="shared" si="4"/>
        <v>4.2472212145919223E-2</v>
      </c>
      <c r="H81" s="10">
        <f t="shared" ca="1" si="15"/>
        <v>0.75888625592417058</v>
      </c>
      <c r="I81" s="10">
        <f t="shared" si="16"/>
        <v>1</v>
      </c>
      <c r="J81" s="2" t="b">
        <f t="shared" si="17"/>
        <v>1</v>
      </c>
      <c r="K81" s="10">
        <f t="shared" si="18"/>
        <v>0</v>
      </c>
      <c r="L81" s="10">
        <f t="shared" ca="1" si="19"/>
        <v>1.1411561839983199E-9</v>
      </c>
      <c r="M81" s="10">
        <f t="shared" ca="1" si="20"/>
        <v>1.1411561839983199E-9</v>
      </c>
    </row>
    <row r="82" spans="1:13">
      <c r="A82" s="8">
        <v>60</v>
      </c>
      <c r="B82" s="8">
        <f t="shared" si="0"/>
        <v>125</v>
      </c>
      <c r="C82" s="9">
        <f t="shared" ca="1" si="12"/>
        <v>0.5</v>
      </c>
      <c r="D82" s="16">
        <f t="shared" si="13"/>
        <v>5.5E-2</v>
      </c>
      <c r="E82" s="2" t="b">
        <f t="shared" si="14"/>
        <v>0</v>
      </c>
      <c r="F82" s="10">
        <f t="shared" ca="1" si="21"/>
        <v>1.7702455989082664E-8</v>
      </c>
      <c r="G82" s="10">
        <f t="shared" si="4"/>
        <v>4.0258020991392633E-2</v>
      </c>
      <c r="H82" s="10">
        <f t="shared" ca="1" si="15"/>
        <v>0.75888625592417058</v>
      </c>
      <c r="I82" s="10">
        <f t="shared" si="16"/>
        <v>1</v>
      </c>
      <c r="J82" s="2" t="b">
        <f t="shared" si="17"/>
        <v>1</v>
      </c>
      <c r="K82" s="10">
        <f t="shared" si="18"/>
        <v>0</v>
      </c>
      <c r="L82" s="10">
        <f t="shared" ca="1" si="19"/>
        <v>5.4083231469114705E-10</v>
      </c>
      <c r="M82" s="10">
        <f t="shared" ca="1" si="20"/>
        <v>5.4083231469114705E-10</v>
      </c>
    </row>
    <row r="83" spans="1:13">
      <c r="A83" s="8">
        <v>61</v>
      </c>
      <c r="B83" s="8">
        <f t="shared" si="0"/>
        <v>126</v>
      </c>
      <c r="C83" s="9">
        <f t="shared" ca="1" si="12"/>
        <v>0.5</v>
      </c>
      <c r="D83" s="16">
        <f t="shared" si="13"/>
        <v>5.5E-2</v>
      </c>
      <c r="E83" s="2" t="b">
        <f t="shared" si="14"/>
        <v>0</v>
      </c>
      <c r="F83" s="10">
        <f t="shared" ca="1" si="21"/>
        <v>8.8512279945413318E-9</v>
      </c>
      <c r="G83" s="10">
        <f t="shared" si="4"/>
        <v>3.8159261603215769E-2</v>
      </c>
      <c r="H83" s="10">
        <f t="shared" ca="1" si="15"/>
        <v>0.75888625592417058</v>
      </c>
      <c r="I83" s="10">
        <f t="shared" si="16"/>
        <v>1</v>
      </c>
      <c r="J83" s="2" t="b">
        <f t="shared" si="17"/>
        <v>1</v>
      </c>
      <c r="K83" s="10">
        <f t="shared" si="18"/>
        <v>0</v>
      </c>
      <c r="L83" s="10">
        <f t="shared" ca="1" si="19"/>
        <v>2.5631863255504598E-10</v>
      </c>
      <c r="M83" s="10">
        <f t="shared" ca="1" si="20"/>
        <v>2.5631863255504598E-10</v>
      </c>
    </row>
    <row r="84" spans="1:13">
      <c r="A84" s="8">
        <v>62</v>
      </c>
      <c r="B84" s="8">
        <f t="shared" si="0"/>
        <v>127</v>
      </c>
      <c r="C84" s="9">
        <f t="shared" ca="1" si="12"/>
        <v>0.5</v>
      </c>
      <c r="D84" s="16">
        <f t="shared" si="13"/>
        <v>5.5E-2</v>
      </c>
      <c r="E84" s="2" t="b">
        <f t="shared" si="14"/>
        <v>0</v>
      </c>
      <c r="F84" s="10">
        <f t="shared" ca="1" si="21"/>
        <v>4.4256139972706659E-9</v>
      </c>
      <c r="G84" s="10">
        <f t="shared" si="4"/>
        <v>3.6169916211578924E-2</v>
      </c>
      <c r="H84" s="10">
        <f t="shared" ca="1" si="15"/>
        <v>0.75888625592417058</v>
      </c>
      <c r="I84" s="10">
        <f t="shared" si="16"/>
        <v>1</v>
      </c>
      <c r="J84" s="2" t="b">
        <f t="shared" si="17"/>
        <v>1</v>
      </c>
      <c r="K84" s="10">
        <f t="shared" si="18"/>
        <v>0</v>
      </c>
      <c r="L84" s="10">
        <f t="shared" ca="1" si="19"/>
        <v>1.2147802490760472E-10</v>
      </c>
      <c r="M84" s="10">
        <f t="shared" ca="1" si="20"/>
        <v>1.2147802490760472E-10</v>
      </c>
    </row>
    <row r="85" spans="1:13">
      <c r="A85" s="8">
        <v>63</v>
      </c>
      <c r="B85" s="8">
        <f t="shared" si="0"/>
        <v>128</v>
      </c>
      <c r="C85" s="9">
        <f t="shared" ca="1" si="12"/>
        <v>0.5</v>
      </c>
      <c r="D85" s="16">
        <f t="shared" si="13"/>
        <v>5.5E-2</v>
      </c>
      <c r="E85" s="2" t="b">
        <f t="shared" si="14"/>
        <v>0</v>
      </c>
      <c r="F85" s="10">
        <f t="shared" ca="1" si="21"/>
        <v>2.2128069986353329E-9</v>
      </c>
      <c r="G85" s="10">
        <f t="shared" si="4"/>
        <v>3.4284280769269128E-2</v>
      </c>
      <c r="H85" s="10">
        <f t="shared" ca="1" si="15"/>
        <v>0.75888625592417058</v>
      </c>
      <c r="I85" s="10">
        <f t="shared" si="16"/>
        <v>1</v>
      </c>
      <c r="J85" s="2" t="b">
        <f t="shared" si="17"/>
        <v>1</v>
      </c>
      <c r="K85" s="10">
        <f t="shared" si="18"/>
        <v>0</v>
      </c>
      <c r="L85" s="10">
        <f t="shared" ca="1" si="19"/>
        <v>5.7572523652893241E-11</v>
      </c>
      <c r="M85" s="10">
        <f t="shared" ca="1" si="20"/>
        <v>5.7572523652893241E-11</v>
      </c>
    </row>
    <row r="86" spans="1:13">
      <c r="A86" s="8">
        <v>64</v>
      </c>
      <c r="B86" s="8">
        <f t="shared" ref="B86:B142" si="22">$B$7+A86</f>
        <v>129</v>
      </c>
      <c r="C86" s="9">
        <f t="shared" ref="C86:C117" ca="1" si="23">OFFSET(Mort_Start,MATCH(MIN(120,B86),Mort_Age_Range,0),0)</f>
        <v>0.5</v>
      </c>
      <c r="D86" s="16">
        <f t="shared" ref="D86:D117" si="24">IF(A86&lt;5,$B$8,IF(A86&lt;20,$B$9,$B$10))</f>
        <v>5.5E-2</v>
      </c>
      <c r="E86" s="2" t="b">
        <f t="shared" ref="E86:E117" si="25">AND(A86&gt;=$B$15,A86&lt;$B$15+$B$12)</f>
        <v>0</v>
      </c>
      <c r="F86" s="10">
        <f t="shared" ca="1" si="21"/>
        <v>1.1064034993176665E-9</v>
      </c>
      <c r="G86" s="10">
        <f t="shared" ref="G86:G142" si="26">IF(D86=0,1,(1+D86)^-A86)</f>
        <v>3.2496948596463626E-2</v>
      </c>
      <c r="H86" s="10">
        <f t="shared" ref="H86:H117" ca="1" si="27">13/24+11/24/(1+D86)*(1-C86)</f>
        <v>0.75888625592417058</v>
      </c>
      <c r="I86" s="10">
        <f t="shared" ref="I86:I117" si="28">(1+$B$14)^(A86-$B$15)</f>
        <v>1</v>
      </c>
      <c r="J86" s="2" t="b">
        <f t="shared" ref="J86:J117" si="29">AND(A86&gt;=$B$15+$B$12,OR($B$13=0,A86&lt;$B$15+$B$13))</f>
        <v>1</v>
      </c>
      <c r="K86" s="10">
        <f t="shared" ref="K86:K117" si="30">IF(E86,$B$16*I86*G86*IF(D86=0,1,(1-(1+D86)^-1)/(12*(1-(1+D86)^(-1/12)))),0)</f>
        <v>0</v>
      </c>
      <c r="L86" s="10">
        <f t="shared" ref="L86:L117" ca="1" si="31">IF(J86,I86*G86*F86*H86,0)</f>
        <v>2.7285556233598688E-11</v>
      </c>
      <c r="M86" s="10">
        <f t="shared" ref="M86:M117" ca="1" si="32">K86+L86</f>
        <v>2.7285556233598688E-11</v>
      </c>
    </row>
    <row r="87" spans="1:13">
      <c r="A87" s="8">
        <v>65</v>
      </c>
      <c r="B87" s="8">
        <f t="shared" si="22"/>
        <v>130</v>
      </c>
      <c r="C87" s="9">
        <f t="shared" ca="1" si="23"/>
        <v>0.5</v>
      </c>
      <c r="D87" s="16">
        <f t="shared" si="24"/>
        <v>5.5E-2</v>
      </c>
      <c r="E87" s="2" t="b">
        <f t="shared" si="25"/>
        <v>0</v>
      </c>
      <c r="F87" s="10">
        <f t="shared" ref="F87:F118" ca="1" si="33">IF(A87=0,1,F86*(1-C86))</f>
        <v>5.5320174965883324E-10</v>
      </c>
      <c r="G87" s="10">
        <f t="shared" si="26"/>
        <v>3.0802794878164577E-2</v>
      </c>
      <c r="H87" s="10">
        <f t="shared" ca="1" si="27"/>
        <v>0.75888625592417058</v>
      </c>
      <c r="I87" s="10">
        <f t="shared" si="28"/>
        <v>1</v>
      </c>
      <c r="J87" s="2" t="b">
        <f t="shared" si="29"/>
        <v>1</v>
      </c>
      <c r="K87" s="10">
        <f t="shared" si="30"/>
        <v>0</v>
      </c>
      <c r="L87" s="10">
        <f t="shared" ca="1" si="31"/>
        <v>1.2931543238672367E-11</v>
      </c>
      <c r="M87" s="10">
        <f t="shared" ca="1" si="32"/>
        <v>1.2931543238672367E-11</v>
      </c>
    </row>
    <row r="88" spans="1:13">
      <c r="A88" s="8">
        <v>66</v>
      </c>
      <c r="B88" s="8">
        <f t="shared" si="22"/>
        <v>131</v>
      </c>
      <c r="C88" s="9">
        <f t="shared" ca="1" si="23"/>
        <v>0.5</v>
      </c>
      <c r="D88" s="16">
        <f t="shared" si="24"/>
        <v>5.5E-2</v>
      </c>
      <c r="E88" s="2" t="b">
        <f t="shared" si="25"/>
        <v>0</v>
      </c>
      <c r="F88" s="10">
        <f t="shared" ca="1" si="33"/>
        <v>2.7660087482941662E-10</v>
      </c>
      <c r="G88" s="10">
        <f t="shared" si="26"/>
        <v>2.9196961969824242E-2</v>
      </c>
      <c r="H88" s="10">
        <f t="shared" ca="1" si="27"/>
        <v>0.75888625592417058</v>
      </c>
      <c r="I88" s="10">
        <f t="shared" si="28"/>
        <v>1</v>
      </c>
      <c r="J88" s="2" t="b">
        <f t="shared" si="29"/>
        <v>1</v>
      </c>
      <c r="K88" s="10">
        <f t="shared" si="30"/>
        <v>0</v>
      </c>
      <c r="L88" s="10">
        <f t="shared" ca="1" si="31"/>
        <v>6.1286934780437752E-12</v>
      </c>
      <c r="M88" s="10">
        <f t="shared" ca="1" si="32"/>
        <v>6.1286934780437752E-12</v>
      </c>
    </row>
    <row r="89" spans="1:13">
      <c r="A89" s="8">
        <v>67</v>
      </c>
      <c r="B89" s="8">
        <f t="shared" si="22"/>
        <v>132</v>
      </c>
      <c r="C89" s="9">
        <f t="shared" ca="1" si="23"/>
        <v>0.5</v>
      </c>
      <c r="D89" s="16">
        <f t="shared" si="24"/>
        <v>5.5E-2</v>
      </c>
      <c r="E89" s="2" t="b">
        <f t="shared" si="25"/>
        <v>0</v>
      </c>
      <c r="F89" s="10">
        <f t="shared" ca="1" si="33"/>
        <v>1.3830043741470831E-10</v>
      </c>
      <c r="G89" s="10">
        <f t="shared" si="26"/>
        <v>2.7674845469027726E-2</v>
      </c>
      <c r="H89" s="10">
        <f t="shared" ca="1" si="27"/>
        <v>0.75888625592417058</v>
      </c>
      <c r="I89" s="10">
        <f t="shared" si="28"/>
        <v>1</v>
      </c>
      <c r="J89" s="2" t="b">
        <f t="shared" si="29"/>
        <v>1</v>
      </c>
      <c r="K89" s="10">
        <f t="shared" si="30"/>
        <v>0</v>
      </c>
      <c r="L89" s="10">
        <f t="shared" ca="1" si="31"/>
        <v>2.9045940654235909E-12</v>
      </c>
      <c r="M89" s="10">
        <f t="shared" ca="1" si="32"/>
        <v>2.9045940654235909E-12</v>
      </c>
    </row>
    <row r="90" spans="1:13">
      <c r="A90" s="8">
        <v>68</v>
      </c>
      <c r="B90" s="8">
        <f t="shared" si="22"/>
        <v>133</v>
      </c>
      <c r="C90" s="9">
        <f t="shared" ca="1" si="23"/>
        <v>0.5</v>
      </c>
      <c r="D90" s="16">
        <f t="shared" si="24"/>
        <v>5.5E-2</v>
      </c>
      <c r="E90" s="2" t="b">
        <f t="shared" si="25"/>
        <v>0</v>
      </c>
      <c r="F90" s="10">
        <f t="shared" ca="1" si="33"/>
        <v>6.9150218707354154E-11</v>
      </c>
      <c r="G90" s="10">
        <f t="shared" si="26"/>
        <v>2.623208101329642E-2</v>
      </c>
      <c r="H90" s="10">
        <f t="shared" ca="1" si="27"/>
        <v>0.75888625592417058</v>
      </c>
      <c r="I90" s="10">
        <f t="shared" si="28"/>
        <v>1</v>
      </c>
      <c r="J90" s="2" t="b">
        <f t="shared" si="29"/>
        <v>1</v>
      </c>
      <c r="K90" s="10">
        <f t="shared" si="30"/>
        <v>0</v>
      </c>
      <c r="L90" s="10">
        <f t="shared" ca="1" si="31"/>
        <v>1.3765848651296639E-12</v>
      </c>
      <c r="M90" s="10">
        <f t="shared" ca="1" si="32"/>
        <v>1.3765848651296639E-12</v>
      </c>
    </row>
    <row r="91" spans="1:13">
      <c r="A91" s="8">
        <v>69</v>
      </c>
      <c r="B91" s="8">
        <f t="shared" si="22"/>
        <v>134</v>
      </c>
      <c r="C91" s="9">
        <f t="shared" ca="1" si="23"/>
        <v>0.5</v>
      </c>
      <c r="D91" s="16">
        <f t="shared" si="24"/>
        <v>5.5E-2</v>
      </c>
      <c r="E91" s="2" t="b">
        <f t="shared" si="25"/>
        <v>0</v>
      </c>
      <c r="F91" s="10">
        <f t="shared" ca="1" si="33"/>
        <v>3.4575109353677077E-11</v>
      </c>
      <c r="G91" s="10">
        <f t="shared" si="26"/>
        <v>2.4864531766157744E-2</v>
      </c>
      <c r="H91" s="10">
        <f t="shared" ca="1" si="27"/>
        <v>0.75888625592417058</v>
      </c>
      <c r="I91" s="10">
        <f t="shared" si="28"/>
        <v>1</v>
      </c>
      <c r="J91" s="2" t="b">
        <f t="shared" si="29"/>
        <v>1</v>
      </c>
      <c r="K91" s="10">
        <f t="shared" si="30"/>
        <v>0</v>
      </c>
      <c r="L91" s="10">
        <f t="shared" ca="1" si="31"/>
        <v>6.5240988868704445E-13</v>
      </c>
      <c r="M91" s="10">
        <f t="shared" ca="1" si="32"/>
        <v>6.5240988868704445E-13</v>
      </c>
    </row>
    <row r="92" spans="1:13">
      <c r="A92" s="8">
        <v>70</v>
      </c>
      <c r="B92" s="8">
        <f t="shared" si="22"/>
        <v>135</v>
      </c>
      <c r="C92" s="9">
        <f t="shared" ca="1" si="23"/>
        <v>0.5</v>
      </c>
      <c r="D92" s="16">
        <f t="shared" si="24"/>
        <v>5.5E-2</v>
      </c>
      <c r="E92" s="2" t="b">
        <f t="shared" si="25"/>
        <v>0</v>
      </c>
      <c r="F92" s="10">
        <f t="shared" ca="1" si="33"/>
        <v>1.7287554676838539E-11</v>
      </c>
      <c r="G92" s="10">
        <f t="shared" si="26"/>
        <v>2.356827655559976E-2</v>
      </c>
      <c r="H92" s="10">
        <f t="shared" ca="1" si="27"/>
        <v>0.75888625592417058</v>
      </c>
      <c r="I92" s="10">
        <f t="shared" si="28"/>
        <v>1</v>
      </c>
      <c r="J92" s="2" t="b">
        <f t="shared" si="29"/>
        <v>1</v>
      </c>
      <c r="K92" s="10">
        <f t="shared" si="30"/>
        <v>0</v>
      </c>
      <c r="L92" s="10">
        <f t="shared" ca="1" si="31"/>
        <v>3.0919899937774623E-13</v>
      </c>
      <c r="M92" s="10">
        <f t="shared" ca="1" si="32"/>
        <v>3.0919899937774623E-13</v>
      </c>
    </row>
    <row r="93" spans="1:13">
      <c r="A93" s="8">
        <v>71</v>
      </c>
      <c r="B93" s="8">
        <f t="shared" si="22"/>
        <v>136</v>
      </c>
      <c r="C93" s="9">
        <f t="shared" ca="1" si="23"/>
        <v>0.5</v>
      </c>
      <c r="D93" s="16">
        <f t="shared" si="24"/>
        <v>5.5E-2</v>
      </c>
      <c r="E93" s="2" t="b">
        <f t="shared" si="25"/>
        <v>0</v>
      </c>
      <c r="F93" s="10">
        <f t="shared" ca="1" si="33"/>
        <v>8.6437773384192693E-12</v>
      </c>
      <c r="G93" s="10">
        <f t="shared" si="26"/>
        <v>2.2339598630900247E-2</v>
      </c>
      <c r="H93" s="10">
        <f t="shared" ca="1" si="27"/>
        <v>0.75888625592417058</v>
      </c>
      <c r="I93" s="10">
        <f t="shared" si="28"/>
        <v>1</v>
      </c>
      <c r="J93" s="2" t="b">
        <f t="shared" si="29"/>
        <v>1</v>
      </c>
      <c r="K93" s="10">
        <f t="shared" si="30"/>
        <v>0</v>
      </c>
      <c r="L93" s="10">
        <f t="shared" ca="1" si="31"/>
        <v>1.4653981013163329E-13</v>
      </c>
      <c r="M93" s="10">
        <f t="shared" ca="1" si="32"/>
        <v>1.4653981013163329E-13</v>
      </c>
    </row>
    <row r="94" spans="1:13">
      <c r="A94" s="8">
        <v>72</v>
      </c>
      <c r="B94" s="8">
        <f t="shared" si="22"/>
        <v>137</v>
      </c>
      <c r="C94" s="9">
        <f t="shared" ca="1" si="23"/>
        <v>0.5</v>
      </c>
      <c r="D94" s="16">
        <f t="shared" si="24"/>
        <v>5.5E-2</v>
      </c>
      <c r="E94" s="2" t="b">
        <f t="shared" si="25"/>
        <v>0</v>
      </c>
      <c r="F94" s="10">
        <f t="shared" ca="1" si="33"/>
        <v>4.3218886692096347E-12</v>
      </c>
      <c r="G94" s="10">
        <f t="shared" si="26"/>
        <v>2.117497500559265E-2</v>
      </c>
      <c r="H94" s="10">
        <f t="shared" ca="1" si="27"/>
        <v>0.75888625592417058</v>
      </c>
      <c r="I94" s="10">
        <f t="shared" si="28"/>
        <v>1</v>
      </c>
      <c r="J94" s="2" t="b">
        <f t="shared" si="29"/>
        <v>1</v>
      </c>
      <c r="K94" s="10">
        <f t="shared" si="30"/>
        <v>0</v>
      </c>
      <c r="L94" s="10">
        <f t="shared" ca="1" si="31"/>
        <v>6.945014698181672E-14</v>
      </c>
      <c r="M94" s="10">
        <f t="shared" ca="1" si="32"/>
        <v>6.945014698181672E-14</v>
      </c>
    </row>
    <row r="95" spans="1:13">
      <c r="A95" s="8">
        <v>73</v>
      </c>
      <c r="B95" s="8">
        <f t="shared" si="22"/>
        <v>138</v>
      </c>
      <c r="C95" s="9">
        <f t="shared" ca="1" si="23"/>
        <v>0.5</v>
      </c>
      <c r="D95" s="16">
        <f t="shared" si="24"/>
        <v>5.5E-2</v>
      </c>
      <c r="E95" s="2" t="b">
        <f t="shared" si="25"/>
        <v>0</v>
      </c>
      <c r="F95" s="10">
        <f t="shared" ca="1" si="33"/>
        <v>2.1609443346048173E-12</v>
      </c>
      <c r="G95" s="10">
        <f t="shared" si="26"/>
        <v>2.0071066356011993E-2</v>
      </c>
      <c r="H95" s="10">
        <f t="shared" ca="1" si="27"/>
        <v>0.75888625592417058</v>
      </c>
      <c r="I95" s="10">
        <f t="shared" si="28"/>
        <v>1</v>
      </c>
      <c r="J95" s="2" t="b">
        <f t="shared" si="29"/>
        <v>1</v>
      </c>
      <c r="K95" s="10">
        <f t="shared" si="30"/>
        <v>0</v>
      </c>
      <c r="L95" s="10">
        <f t="shared" ca="1" si="31"/>
        <v>3.2914761602756744E-14</v>
      </c>
      <c r="M95" s="10">
        <f t="shared" ca="1" si="32"/>
        <v>3.2914761602756744E-14</v>
      </c>
    </row>
    <row r="96" spans="1:13">
      <c r="A96" s="8">
        <v>74</v>
      </c>
      <c r="B96" s="8">
        <f t="shared" si="22"/>
        <v>139</v>
      </c>
      <c r="C96" s="9">
        <f t="shared" ca="1" si="23"/>
        <v>0.5</v>
      </c>
      <c r="D96" s="16">
        <f t="shared" si="24"/>
        <v>5.5E-2</v>
      </c>
      <c r="E96" s="2" t="b">
        <f t="shared" si="25"/>
        <v>0</v>
      </c>
      <c r="F96" s="10">
        <f t="shared" ca="1" si="33"/>
        <v>1.0804721673024087E-12</v>
      </c>
      <c r="G96" s="10">
        <f t="shared" si="26"/>
        <v>1.9024707446456863E-2</v>
      </c>
      <c r="H96" s="10">
        <f t="shared" ca="1" si="27"/>
        <v>0.75888625592417058</v>
      </c>
      <c r="I96" s="10">
        <f t="shared" si="28"/>
        <v>1</v>
      </c>
      <c r="J96" s="2" t="b">
        <f t="shared" si="29"/>
        <v>1</v>
      </c>
      <c r="K96" s="10">
        <f t="shared" si="30"/>
        <v>0</v>
      </c>
      <c r="L96" s="10">
        <f t="shared" ca="1" si="31"/>
        <v>1.5599413081875232E-14</v>
      </c>
      <c r="M96" s="10">
        <f t="shared" ca="1" si="32"/>
        <v>1.5599413081875232E-14</v>
      </c>
    </row>
    <row r="97" spans="1:13">
      <c r="A97" s="8">
        <v>75</v>
      </c>
      <c r="B97" s="8">
        <f t="shared" si="22"/>
        <v>140</v>
      </c>
      <c r="C97" s="9">
        <f t="shared" ca="1" si="23"/>
        <v>0.5</v>
      </c>
      <c r="D97" s="16">
        <f t="shared" si="24"/>
        <v>5.5E-2</v>
      </c>
      <c r="E97" s="2" t="b">
        <f t="shared" si="25"/>
        <v>0</v>
      </c>
      <c r="F97" s="10">
        <f t="shared" ca="1" si="33"/>
        <v>5.4023608365120433E-13</v>
      </c>
      <c r="G97" s="10">
        <f t="shared" si="26"/>
        <v>1.8032898053513619E-2</v>
      </c>
      <c r="H97" s="10">
        <f t="shared" ca="1" si="27"/>
        <v>0.75888625592417058</v>
      </c>
      <c r="I97" s="10">
        <f t="shared" si="28"/>
        <v>1</v>
      </c>
      <c r="J97" s="2" t="b">
        <f t="shared" si="29"/>
        <v>1</v>
      </c>
      <c r="K97" s="10">
        <f t="shared" si="30"/>
        <v>0</v>
      </c>
      <c r="L97" s="10">
        <f t="shared" ca="1" si="31"/>
        <v>7.3930867686612496E-15</v>
      </c>
      <c r="M97" s="10">
        <f t="shared" ca="1" si="32"/>
        <v>7.3930867686612496E-15</v>
      </c>
    </row>
    <row r="98" spans="1:13">
      <c r="A98" s="8">
        <v>76</v>
      </c>
      <c r="B98" s="8">
        <f t="shared" si="22"/>
        <v>141</v>
      </c>
      <c r="C98" s="9">
        <f t="shared" ca="1" si="23"/>
        <v>0.5</v>
      </c>
      <c r="D98" s="16">
        <f t="shared" si="24"/>
        <v>5.5E-2</v>
      </c>
      <c r="E98" s="2" t="b">
        <f t="shared" si="25"/>
        <v>0</v>
      </c>
      <c r="F98" s="10">
        <f t="shared" ca="1" si="33"/>
        <v>2.7011804182560217E-13</v>
      </c>
      <c r="G98" s="10">
        <f t="shared" si="26"/>
        <v>1.7092794363520018E-2</v>
      </c>
      <c r="H98" s="10">
        <f t="shared" ca="1" si="27"/>
        <v>0.75888625592417058</v>
      </c>
      <c r="I98" s="10">
        <f t="shared" si="28"/>
        <v>1</v>
      </c>
      <c r="J98" s="2" t="b">
        <f t="shared" si="29"/>
        <v>1</v>
      </c>
      <c r="K98" s="10">
        <f t="shared" si="30"/>
        <v>0</v>
      </c>
      <c r="L98" s="10">
        <f t="shared" ca="1" si="31"/>
        <v>3.5038325917825826E-15</v>
      </c>
      <c r="M98" s="10">
        <f t="shared" ca="1" si="32"/>
        <v>3.5038325917825826E-15</v>
      </c>
    </row>
    <row r="99" spans="1:13">
      <c r="A99" s="8">
        <v>77</v>
      </c>
      <c r="B99" s="8">
        <f t="shared" si="22"/>
        <v>142</v>
      </c>
      <c r="C99" s="9">
        <f t="shared" ca="1" si="23"/>
        <v>0.5</v>
      </c>
      <c r="D99" s="16">
        <f t="shared" si="24"/>
        <v>5.5E-2</v>
      </c>
      <c r="E99" s="2" t="b">
        <f t="shared" si="25"/>
        <v>0</v>
      </c>
      <c r="F99" s="10">
        <f t="shared" ca="1" si="33"/>
        <v>1.3505902091280108E-13</v>
      </c>
      <c r="G99" s="10">
        <f t="shared" si="26"/>
        <v>1.6201700818502387E-2</v>
      </c>
      <c r="H99" s="10">
        <f t="shared" ca="1" si="27"/>
        <v>0.75888625592417058</v>
      </c>
      <c r="I99" s="10">
        <f t="shared" si="28"/>
        <v>1</v>
      </c>
      <c r="J99" s="2" t="b">
        <f t="shared" si="29"/>
        <v>1</v>
      </c>
      <c r="K99" s="10">
        <f t="shared" si="30"/>
        <v>0</v>
      </c>
      <c r="L99" s="10">
        <f t="shared" ca="1" si="31"/>
        <v>1.6605841667216032E-15</v>
      </c>
      <c r="M99" s="10">
        <f t="shared" ca="1" si="32"/>
        <v>1.6605841667216032E-15</v>
      </c>
    </row>
    <row r="100" spans="1:13">
      <c r="A100" s="8">
        <v>78</v>
      </c>
      <c r="B100" s="8">
        <f t="shared" si="22"/>
        <v>143</v>
      </c>
      <c r="C100" s="9">
        <f t="shared" ca="1" si="23"/>
        <v>0.5</v>
      </c>
      <c r="D100" s="16">
        <f t="shared" si="24"/>
        <v>5.5E-2</v>
      </c>
      <c r="E100" s="2" t="b">
        <f t="shared" si="25"/>
        <v>0</v>
      </c>
      <c r="F100" s="10">
        <f t="shared" ca="1" si="33"/>
        <v>6.7529510456400541E-14</v>
      </c>
      <c r="G100" s="10">
        <f t="shared" si="26"/>
        <v>1.5357062387206055E-2</v>
      </c>
      <c r="H100" s="10">
        <f t="shared" ca="1" si="27"/>
        <v>0.75888625592417058</v>
      </c>
      <c r="I100" s="10">
        <f t="shared" si="28"/>
        <v>1</v>
      </c>
      <c r="J100" s="2" t="b">
        <f t="shared" si="29"/>
        <v>1</v>
      </c>
      <c r="K100" s="10">
        <f t="shared" si="30"/>
        <v>0</v>
      </c>
      <c r="L100" s="10">
        <f t="shared" ca="1" si="31"/>
        <v>7.870067140860678E-16</v>
      </c>
      <c r="M100" s="10">
        <f t="shared" ca="1" si="32"/>
        <v>7.870067140860678E-16</v>
      </c>
    </row>
    <row r="101" spans="1:13">
      <c r="A101" s="8">
        <v>79</v>
      </c>
      <c r="B101" s="8">
        <f t="shared" si="22"/>
        <v>144</v>
      </c>
      <c r="C101" s="9">
        <f t="shared" ca="1" si="23"/>
        <v>0.5</v>
      </c>
      <c r="D101" s="16">
        <f t="shared" si="24"/>
        <v>5.5E-2</v>
      </c>
      <c r="E101" s="2" t="b">
        <f t="shared" si="25"/>
        <v>0</v>
      </c>
      <c r="F101" s="10">
        <f t="shared" ca="1" si="33"/>
        <v>3.3764755228200271E-14</v>
      </c>
      <c r="G101" s="10">
        <f t="shared" si="26"/>
        <v>1.4556457239057873E-2</v>
      </c>
      <c r="H101" s="10">
        <f t="shared" ca="1" si="27"/>
        <v>0.75888625592417058</v>
      </c>
      <c r="I101" s="10">
        <f t="shared" si="28"/>
        <v>1</v>
      </c>
      <c r="J101" s="2" t="b">
        <f t="shared" si="29"/>
        <v>1</v>
      </c>
      <c r="K101" s="10">
        <f t="shared" si="30"/>
        <v>0</v>
      </c>
      <c r="L101" s="10">
        <f t="shared" ca="1" si="31"/>
        <v>3.729889640218332E-16</v>
      </c>
      <c r="M101" s="10">
        <f t="shared" ca="1" si="32"/>
        <v>3.729889640218332E-16</v>
      </c>
    </row>
    <row r="102" spans="1:13">
      <c r="A102" s="8">
        <v>80</v>
      </c>
      <c r="B102" s="8">
        <f t="shared" si="22"/>
        <v>145</v>
      </c>
      <c r="C102" s="9">
        <f t="shared" ca="1" si="23"/>
        <v>0.5</v>
      </c>
      <c r="D102" s="16">
        <f t="shared" si="24"/>
        <v>5.5E-2</v>
      </c>
      <c r="E102" s="2" t="b">
        <f t="shared" si="25"/>
        <v>0</v>
      </c>
      <c r="F102" s="10">
        <f t="shared" ca="1" si="33"/>
        <v>1.6882377614100135E-14</v>
      </c>
      <c r="G102" s="10">
        <f t="shared" si="26"/>
        <v>1.3797589800054856E-2</v>
      </c>
      <c r="H102" s="10">
        <f t="shared" ca="1" si="27"/>
        <v>0.75888625592417058</v>
      </c>
      <c r="I102" s="10">
        <f t="shared" si="28"/>
        <v>1</v>
      </c>
      <c r="J102" s="2" t="b">
        <f t="shared" si="29"/>
        <v>1</v>
      </c>
      <c r="K102" s="10">
        <f t="shared" si="30"/>
        <v>0</v>
      </c>
      <c r="L102" s="10">
        <f t="shared" ca="1" si="31"/>
        <v>1.7677202086342802E-16</v>
      </c>
      <c r="M102" s="10">
        <f t="shared" ca="1" si="32"/>
        <v>1.7677202086342802E-16</v>
      </c>
    </row>
    <row r="103" spans="1:13">
      <c r="A103" s="8">
        <v>81</v>
      </c>
      <c r="B103" s="8">
        <f t="shared" si="22"/>
        <v>146</v>
      </c>
      <c r="C103" s="9">
        <f t="shared" ca="1" si="23"/>
        <v>0.5</v>
      </c>
      <c r="D103" s="16">
        <f t="shared" si="24"/>
        <v>5.5E-2</v>
      </c>
      <c r="E103" s="2" t="b">
        <f t="shared" si="25"/>
        <v>0</v>
      </c>
      <c r="F103" s="10">
        <f t="shared" ca="1" si="33"/>
        <v>8.4411888070500677E-15</v>
      </c>
      <c r="G103" s="10">
        <f t="shared" si="26"/>
        <v>1.3078284170668111E-2</v>
      </c>
      <c r="H103" s="10">
        <f t="shared" ca="1" si="27"/>
        <v>0.75888625592417058</v>
      </c>
      <c r="I103" s="10">
        <f t="shared" si="28"/>
        <v>1</v>
      </c>
      <c r="J103" s="2" t="b">
        <f t="shared" si="29"/>
        <v>1</v>
      </c>
      <c r="K103" s="10">
        <f t="shared" si="30"/>
        <v>0</v>
      </c>
      <c r="L103" s="10">
        <f t="shared" ca="1" si="31"/>
        <v>8.3778208940013288E-17</v>
      </c>
      <c r="M103" s="10">
        <f t="shared" ca="1" si="32"/>
        <v>8.3778208940013288E-17</v>
      </c>
    </row>
    <row r="104" spans="1:13">
      <c r="A104" s="8">
        <v>82</v>
      </c>
      <c r="B104" s="8">
        <f t="shared" si="22"/>
        <v>147</v>
      </c>
      <c r="C104" s="9">
        <f t="shared" ca="1" si="23"/>
        <v>0.5</v>
      </c>
      <c r="D104" s="16">
        <f t="shared" si="24"/>
        <v>5.5E-2</v>
      </c>
      <c r="E104" s="2" t="b">
        <f t="shared" si="25"/>
        <v>0</v>
      </c>
      <c r="F104" s="10">
        <f t="shared" ca="1" si="33"/>
        <v>4.2205944035250338E-15</v>
      </c>
      <c r="G104" s="10">
        <f t="shared" si="26"/>
        <v>1.2396477886889206E-2</v>
      </c>
      <c r="H104" s="10">
        <f t="shared" ca="1" si="27"/>
        <v>0.75888625592417058</v>
      </c>
      <c r="I104" s="10">
        <f t="shared" si="28"/>
        <v>1</v>
      </c>
      <c r="J104" s="2" t="b">
        <f t="shared" si="29"/>
        <v>1</v>
      </c>
      <c r="K104" s="10">
        <f t="shared" si="30"/>
        <v>0</v>
      </c>
      <c r="L104" s="10">
        <f t="shared" ca="1" si="31"/>
        <v>3.9705312293845163E-17</v>
      </c>
      <c r="M104" s="10">
        <f t="shared" ca="1" si="32"/>
        <v>3.9705312293845163E-17</v>
      </c>
    </row>
    <row r="105" spans="1:13">
      <c r="A105" s="8">
        <v>83</v>
      </c>
      <c r="B105" s="8">
        <f t="shared" si="22"/>
        <v>148</v>
      </c>
      <c r="C105" s="9">
        <f t="shared" ca="1" si="23"/>
        <v>0.5</v>
      </c>
      <c r="D105" s="16">
        <f t="shared" si="24"/>
        <v>5.5E-2</v>
      </c>
      <c r="E105" s="2" t="b">
        <f t="shared" si="25"/>
        <v>0</v>
      </c>
      <c r="F105" s="10">
        <f t="shared" ca="1" si="33"/>
        <v>2.1102972017625169E-15</v>
      </c>
      <c r="G105" s="10">
        <f t="shared" si="26"/>
        <v>1.1750216006530053E-2</v>
      </c>
      <c r="H105" s="10">
        <f t="shared" ca="1" si="27"/>
        <v>0.75888625592417058</v>
      </c>
      <c r="I105" s="10">
        <f t="shared" si="28"/>
        <v>1</v>
      </c>
      <c r="J105" s="2" t="b">
        <f t="shared" si="29"/>
        <v>1</v>
      </c>
      <c r="K105" s="10">
        <f t="shared" si="30"/>
        <v>0</v>
      </c>
      <c r="L105" s="10">
        <f t="shared" ca="1" si="31"/>
        <v>1.8817683551585389E-17</v>
      </c>
      <c r="M105" s="10">
        <f t="shared" ca="1" si="32"/>
        <v>1.8817683551585389E-17</v>
      </c>
    </row>
    <row r="106" spans="1:13">
      <c r="A106" s="8">
        <v>84</v>
      </c>
      <c r="B106" s="8">
        <f t="shared" si="22"/>
        <v>149</v>
      </c>
      <c r="C106" s="9">
        <f t="shared" ca="1" si="23"/>
        <v>0.5</v>
      </c>
      <c r="D106" s="16">
        <f t="shared" si="24"/>
        <v>5.5E-2</v>
      </c>
      <c r="E106" s="2" t="b">
        <f t="shared" si="25"/>
        <v>0</v>
      </c>
      <c r="F106" s="10">
        <f t="shared" ca="1" si="33"/>
        <v>1.0551486008812585E-15</v>
      </c>
      <c r="G106" s="10">
        <f t="shared" si="26"/>
        <v>1.1137645503819954E-2</v>
      </c>
      <c r="H106" s="10">
        <f t="shared" ca="1" si="27"/>
        <v>0.75888625592417058</v>
      </c>
      <c r="I106" s="10">
        <f t="shared" si="28"/>
        <v>1</v>
      </c>
      <c r="J106" s="2" t="b">
        <f t="shared" si="29"/>
        <v>1</v>
      </c>
      <c r="K106" s="10">
        <f t="shared" si="30"/>
        <v>0</v>
      </c>
      <c r="L106" s="10">
        <f t="shared" ca="1" si="31"/>
        <v>8.9183334367703251E-18</v>
      </c>
      <c r="M106" s="10">
        <f t="shared" ca="1" si="32"/>
        <v>8.9183334367703251E-18</v>
      </c>
    </row>
    <row r="107" spans="1:13">
      <c r="A107" s="8">
        <v>85</v>
      </c>
      <c r="B107" s="8">
        <f t="shared" si="22"/>
        <v>150</v>
      </c>
      <c r="C107" s="9">
        <f t="shared" ca="1" si="23"/>
        <v>0.5</v>
      </c>
      <c r="D107" s="16">
        <f t="shared" si="24"/>
        <v>5.5E-2</v>
      </c>
      <c r="E107" s="2" t="b">
        <f t="shared" si="25"/>
        <v>0</v>
      </c>
      <c r="F107" s="10">
        <f t="shared" ca="1" si="33"/>
        <v>5.2757430044062923E-16</v>
      </c>
      <c r="G107" s="10">
        <f t="shared" si="26"/>
        <v>1.0557009956227445E-2</v>
      </c>
      <c r="H107" s="10">
        <f t="shared" ca="1" si="27"/>
        <v>0.75888625592417058</v>
      </c>
      <c r="I107" s="10">
        <f t="shared" si="28"/>
        <v>1</v>
      </c>
      <c r="J107" s="2" t="b">
        <f t="shared" si="29"/>
        <v>1</v>
      </c>
      <c r="K107" s="10">
        <f t="shared" si="30"/>
        <v>0</v>
      </c>
      <c r="L107" s="10">
        <f t="shared" ca="1" si="31"/>
        <v>4.2266983112655569E-18</v>
      </c>
      <c r="M107" s="10">
        <f t="shared" ca="1" si="32"/>
        <v>4.2266983112655569E-18</v>
      </c>
    </row>
    <row r="108" spans="1:13">
      <c r="A108" s="8">
        <v>86</v>
      </c>
      <c r="B108" s="8">
        <f t="shared" si="22"/>
        <v>151</v>
      </c>
      <c r="C108" s="9">
        <f t="shared" ca="1" si="23"/>
        <v>0.5</v>
      </c>
      <c r="D108" s="16">
        <f t="shared" si="24"/>
        <v>5.5E-2</v>
      </c>
      <c r="E108" s="2" t="b">
        <f t="shared" si="25"/>
        <v>0</v>
      </c>
      <c r="F108" s="10">
        <f t="shared" ca="1" si="33"/>
        <v>2.6378715022031462E-16</v>
      </c>
      <c r="G108" s="10">
        <f t="shared" si="26"/>
        <v>1.0006644508272461E-2</v>
      </c>
      <c r="H108" s="10">
        <f t="shared" ca="1" si="27"/>
        <v>0.75888625592417058</v>
      </c>
      <c r="I108" s="10">
        <f t="shared" si="28"/>
        <v>1</v>
      </c>
      <c r="J108" s="2" t="b">
        <f t="shared" si="29"/>
        <v>1</v>
      </c>
      <c r="K108" s="10">
        <f t="shared" si="30"/>
        <v>0</v>
      </c>
      <c r="L108" s="10">
        <f t="shared" ca="1" si="31"/>
        <v>2.0031745551021599E-18</v>
      </c>
      <c r="M108" s="10">
        <f t="shared" ca="1" si="32"/>
        <v>2.0031745551021599E-18</v>
      </c>
    </row>
    <row r="109" spans="1:13">
      <c r="A109" s="8">
        <v>87</v>
      </c>
      <c r="B109" s="8">
        <f t="shared" si="22"/>
        <v>152</v>
      </c>
      <c r="C109" s="9">
        <f t="shared" ca="1" si="23"/>
        <v>0.5</v>
      </c>
      <c r="D109" s="16">
        <f t="shared" si="24"/>
        <v>5.5E-2</v>
      </c>
      <c r="E109" s="2" t="b">
        <f t="shared" si="25"/>
        <v>0</v>
      </c>
      <c r="F109" s="10">
        <f t="shared" ca="1" si="33"/>
        <v>1.3189357511015731E-16</v>
      </c>
      <c r="G109" s="10">
        <f t="shared" si="26"/>
        <v>9.4849710978885896E-3</v>
      </c>
      <c r="H109" s="10">
        <f t="shared" ca="1" si="27"/>
        <v>0.75888625592417058</v>
      </c>
      <c r="I109" s="10">
        <f t="shared" si="28"/>
        <v>1</v>
      </c>
      <c r="J109" s="2" t="b">
        <f t="shared" si="29"/>
        <v>1</v>
      </c>
      <c r="K109" s="10">
        <f t="shared" si="30"/>
        <v>0</v>
      </c>
      <c r="L109" s="10">
        <f t="shared" ca="1" si="31"/>
        <v>9.4937182706263512E-19</v>
      </c>
      <c r="M109" s="10">
        <f t="shared" ca="1" si="32"/>
        <v>9.4937182706263512E-19</v>
      </c>
    </row>
    <row r="110" spans="1:13">
      <c r="A110" s="8">
        <v>88</v>
      </c>
      <c r="B110" s="8">
        <f t="shared" si="22"/>
        <v>153</v>
      </c>
      <c r="C110" s="9">
        <f t="shared" ca="1" si="23"/>
        <v>0.5</v>
      </c>
      <c r="D110" s="16">
        <f t="shared" si="24"/>
        <v>5.5E-2</v>
      </c>
      <c r="E110" s="2" t="b">
        <f t="shared" si="25"/>
        <v>0</v>
      </c>
      <c r="F110" s="10">
        <f t="shared" ca="1" si="33"/>
        <v>6.5946787555078654E-17</v>
      </c>
      <c r="G110" s="10">
        <f t="shared" si="26"/>
        <v>8.9904939316479519E-3</v>
      </c>
      <c r="H110" s="10">
        <f t="shared" ca="1" si="27"/>
        <v>0.75888625592417058</v>
      </c>
      <c r="I110" s="10">
        <f t="shared" si="28"/>
        <v>1</v>
      </c>
      <c r="J110" s="2" t="b">
        <f t="shared" si="29"/>
        <v>1</v>
      </c>
      <c r="K110" s="10">
        <f t="shared" si="30"/>
        <v>0</v>
      </c>
      <c r="L110" s="10">
        <f t="shared" ca="1" si="31"/>
        <v>4.4993925453205454E-19</v>
      </c>
      <c r="M110" s="10">
        <f t="shared" ca="1" si="32"/>
        <v>4.4993925453205454E-19</v>
      </c>
    </row>
    <row r="111" spans="1:13">
      <c r="A111" s="8">
        <v>89</v>
      </c>
      <c r="B111" s="8">
        <f t="shared" si="22"/>
        <v>154</v>
      </c>
      <c r="C111" s="9">
        <f t="shared" ca="1" si="23"/>
        <v>0.5</v>
      </c>
      <c r="D111" s="16">
        <f t="shared" si="24"/>
        <v>5.5E-2</v>
      </c>
      <c r="E111" s="2" t="b">
        <f t="shared" si="25"/>
        <v>0</v>
      </c>
      <c r="F111" s="10">
        <f t="shared" ca="1" si="33"/>
        <v>3.2973393777539327E-17</v>
      </c>
      <c r="G111" s="10">
        <f t="shared" si="26"/>
        <v>8.5217951958748359E-3</v>
      </c>
      <c r="H111" s="10">
        <f t="shared" ca="1" si="27"/>
        <v>0.75888625592417058</v>
      </c>
      <c r="I111" s="10">
        <f t="shared" si="28"/>
        <v>1</v>
      </c>
      <c r="J111" s="2" t="b">
        <f t="shared" si="29"/>
        <v>1</v>
      </c>
      <c r="K111" s="10">
        <f t="shared" si="30"/>
        <v>0</v>
      </c>
      <c r="L111" s="10">
        <f t="shared" ca="1" si="31"/>
        <v>2.1324135285879361E-19</v>
      </c>
      <c r="M111" s="10">
        <f t="shared" ca="1" si="32"/>
        <v>2.1324135285879361E-19</v>
      </c>
    </row>
    <row r="112" spans="1:13">
      <c r="A112" s="8">
        <v>90</v>
      </c>
      <c r="B112" s="8">
        <f t="shared" si="22"/>
        <v>155</v>
      </c>
      <c r="C112" s="9">
        <f t="shared" ca="1" si="23"/>
        <v>0.5</v>
      </c>
      <c r="D112" s="16">
        <f t="shared" si="24"/>
        <v>5.5E-2</v>
      </c>
      <c r="E112" s="2" t="b">
        <f t="shared" si="25"/>
        <v>0</v>
      </c>
      <c r="F112" s="10">
        <f t="shared" ca="1" si="33"/>
        <v>1.6486696888769663E-17</v>
      </c>
      <c r="G112" s="10">
        <f t="shared" si="26"/>
        <v>8.0775309913505549E-3</v>
      </c>
      <c r="H112" s="10">
        <f t="shared" ca="1" si="27"/>
        <v>0.75888625592417058</v>
      </c>
      <c r="I112" s="10">
        <f t="shared" si="28"/>
        <v>1</v>
      </c>
      <c r="J112" s="2" t="b">
        <f t="shared" si="29"/>
        <v>1</v>
      </c>
      <c r="K112" s="10">
        <f t="shared" si="30"/>
        <v>0</v>
      </c>
      <c r="L112" s="10">
        <f t="shared" ca="1" si="31"/>
        <v>1.010622525397126E-19</v>
      </c>
      <c r="M112" s="10">
        <f t="shared" ca="1" si="32"/>
        <v>1.010622525397126E-19</v>
      </c>
    </row>
    <row r="113" spans="1:13">
      <c r="A113" s="8">
        <v>91</v>
      </c>
      <c r="B113" s="8">
        <f t="shared" si="22"/>
        <v>156</v>
      </c>
      <c r="C113" s="9">
        <f t="shared" ca="1" si="23"/>
        <v>0.5</v>
      </c>
      <c r="D113" s="16">
        <f t="shared" si="24"/>
        <v>5.5E-2</v>
      </c>
      <c r="E113" s="2" t="b">
        <f t="shared" si="25"/>
        <v>0</v>
      </c>
      <c r="F113" s="10">
        <f t="shared" ca="1" si="33"/>
        <v>8.2433484443848317E-18</v>
      </c>
      <c r="G113" s="10">
        <f t="shared" si="26"/>
        <v>7.656427479953134E-3</v>
      </c>
      <c r="H113" s="10">
        <f t="shared" ca="1" si="27"/>
        <v>0.75888625592417058</v>
      </c>
      <c r="I113" s="10">
        <f t="shared" si="28"/>
        <v>1</v>
      </c>
      <c r="J113" s="2" t="b">
        <f t="shared" si="29"/>
        <v>1</v>
      </c>
      <c r="K113" s="10">
        <f t="shared" si="30"/>
        <v>0</v>
      </c>
      <c r="L113" s="10">
        <f t="shared" ca="1" si="31"/>
        <v>4.789680215152257E-20</v>
      </c>
      <c r="M113" s="10">
        <f t="shared" ca="1" si="32"/>
        <v>4.789680215152257E-20</v>
      </c>
    </row>
    <row r="114" spans="1:13">
      <c r="A114" s="8">
        <v>92</v>
      </c>
      <c r="B114" s="8">
        <f t="shared" si="22"/>
        <v>157</v>
      </c>
      <c r="C114" s="9">
        <f t="shared" ca="1" si="23"/>
        <v>0.5</v>
      </c>
      <c r="D114" s="16">
        <f t="shared" si="24"/>
        <v>5.5E-2</v>
      </c>
      <c r="E114" s="2" t="b">
        <f t="shared" si="25"/>
        <v>0</v>
      </c>
      <c r="F114" s="10">
        <f t="shared" ca="1" si="33"/>
        <v>4.1216742221924159E-18</v>
      </c>
      <c r="G114" s="10">
        <f t="shared" si="26"/>
        <v>7.2572772321830657E-3</v>
      </c>
      <c r="H114" s="10">
        <f t="shared" ca="1" si="27"/>
        <v>0.75888625592417058</v>
      </c>
      <c r="I114" s="10">
        <f t="shared" si="28"/>
        <v>1</v>
      </c>
      <c r="J114" s="2" t="b">
        <f t="shared" si="29"/>
        <v>1</v>
      </c>
      <c r="K114" s="10">
        <f t="shared" si="30"/>
        <v>0</v>
      </c>
      <c r="L114" s="10">
        <f t="shared" ca="1" si="31"/>
        <v>2.2699906232949085E-20</v>
      </c>
      <c r="M114" s="10">
        <f t="shared" ca="1" si="32"/>
        <v>2.2699906232949085E-20</v>
      </c>
    </row>
    <row r="115" spans="1:13">
      <c r="A115" s="8">
        <v>93</v>
      </c>
      <c r="B115" s="8">
        <f t="shared" si="22"/>
        <v>158</v>
      </c>
      <c r="C115" s="9">
        <f t="shared" ca="1" si="23"/>
        <v>0.5</v>
      </c>
      <c r="D115" s="16">
        <f t="shared" si="24"/>
        <v>5.5E-2</v>
      </c>
      <c r="E115" s="2" t="b">
        <f t="shared" si="25"/>
        <v>0</v>
      </c>
      <c r="F115" s="10">
        <f t="shared" ca="1" si="33"/>
        <v>2.0608371110962079E-18</v>
      </c>
      <c r="G115" s="10">
        <f t="shared" si="26"/>
        <v>6.8789357651024329E-3</v>
      </c>
      <c r="H115" s="10">
        <f t="shared" ca="1" si="27"/>
        <v>0.75888625592417058</v>
      </c>
      <c r="I115" s="10">
        <f t="shared" si="28"/>
        <v>1</v>
      </c>
      <c r="J115" s="2" t="b">
        <f t="shared" si="29"/>
        <v>1</v>
      </c>
      <c r="K115" s="10">
        <f t="shared" si="30"/>
        <v>0</v>
      </c>
      <c r="L115" s="10">
        <f t="shared" ca="1" si="31"/>
        <v>1.075824939950194E-20</v>
      </c>
      <c r="M115" s="10">
        <f t="shared" ca="1" si="32"/>
        <v>1.075824939950194E-20</v>
      </c>
    </row>
    <row r="116" spans="1:13">
      <c r="A116" s="8">
        <v>94</v>
      </c>
      <c r="B116" s="8">
        <f t="shared" si="22"/>
        <v>159</v>
      </c>
      <c r="C116" s="9">
        <f t="shared" ca="1" si="23"/>
        <v>0.5</v>
      </c>
      <c r="D116" s="16">
        <f t="shared" si="24"/>
        <v>5.5E-2</v>
      </c>
      <c r="E116" s="2" t="b">
        <f t="shared" si="25"/>
        <v>0</v>
      </c>
      <c r="F116" s="10">
        <f t="shared" ca="1" si="33"/>
        <v>1.030418555548104E-18</v>
      </c>
      <c r="G116" s="10">
        <f t="shared" si="26"/>
        <v>6.5203182607605995E-3</v>
      </c>
      <c r="H116" s="10">
        <f t="shared" ca="1" si="27"/>
        <v>0.75888625592417058</v>
      </c>
      <c r="I116" s="10">
        <f t="shared" si="28"/>
        <v>1</v>
      </c>
      <c r="J116" s="2" t="b">
        <f t="shared" si="29"/>
        <v>1</v>
      </c>
      <c r="K116" s="10">
        <f t="shared" si="30"/>
        <v>0</v>
      </c>
      <c r="L116" s="10">
        <f t="shared" ca="1" si="31"/>
        <v>5.0986963978682169E-21</v>
      </c>
      <c r="M116" s="10">
        <f t="shared" ca="1" si="32"/>
        <v>5.0986963978682169E-21</v>
      </c>
    </row>
    <row r="117" spans="1:13">
      <c r="A117" s="8">
        <v>95</v>
      </c>
      <c r="B117" s="8">
        <f t="shared" si="22"/>
        <v>160</v>
      </c>
      <c r="C117" s="9">
        <f t="shared" ca="1" si="23"/>
        <v>0.5</v>
      </c>
      <c r="D117" s="16">
        <f t="shared" si="24"/>
        <v>5.5E-2</v>
      </c>
      <c r="E117" s="2" t="b">
        <f t="shared" si="25"/>
        <v>0</v>
      </c>
      <c r="F117" s="10">
        <f t="shared" ca="1" si="33"/>
        <v>5.1520927777405198E-19</v>
      </c>
      <c r="G117" s="10">
        <f t="shared" si="26"/>
        <v>6.1803964556972511E-3</v>
      </c>
      <c r="H117" s="10">
        <f t="shared" ca="1" si="27"/>
        <v>0.75888625592417058</v>
      </c>
      <c r="I117" s="10">
        <f t="shared" si="28"/>
        <v>1</v>
      </c>
      <c r="J117" s="2" t="b">
        <f t="shared" si="29"/>
        <v>1</v>
      </c>
      <c r="K117" s="10">
        <f t="shared" si="30"/>
        <v>0</v>
      </c>
      <c r="L117" s="10">
        <f t="shared" ca="1" si="31"/>
        <v>2.4164437904588708E-21</v>
      </c>
      <c r="M117" s="10">
        <f t="shared" ca="1" si="32"/>
        <v>2.4164437904588708E-21</v>
      </c>
    </row>
    <row r="118" spans="1:13">
      <c r="A118" s="8">
        <v>96</v>
      </c>
      <c r="B118" s="8">
        <f t="shared" si="22"/>
        <v>161</v>
      </c>
      <c r="C118" s="9">
        <f t="shared" ref="C118:C142" ca="1" si="34">OFFSET(Mort_Start,MATCH(MIN(120,B118),Mort_Age_Range,0),0)</f>
        <v>0.5</v>
      </c>
      <c r="D118" s="16">
        <f t="shared" ref="D118:D142" si="35">IF(A118&lt;5,$B$8,IF(A118&lt;20,$B$9,$B$10))</f>
        <v>5.5E-2</v>
      </c>
      <c r="E118" s="2" t="b">
        <f t="shared" ref="E118:E142" si="36">AND(A118&gt;=$B$15,A118&lt;$B$15+$B$12)</f>
        <v>0</v>
      </c>
      <c r="F118" s="10">
        <f t="shared" ca="1" si="33"/>
        <v>2.5760463888702599E-19</v>
      </c>
      <c r="G118" s="10">
        <f t="shared" si="26"/>
        <v>5.8581956926040298E-3</v>
      </c>
      <c r="H118" s="10">
        <f t="shared" ref="H118:H142" ca="1" si="37">13/24+11/24/(1+D118)*(1-C118)</f>
        <v>0.75888625592417058</v>
      </c>
      <c r="I118" s="10">
        <f t="shared" ref="I118:I142" si="38">(1+$B$14)^(A118-$B$15)</f>
        <v>1</v>
      </c>
      <c r="J118" s="2" t="b">
        <f t="shared" ref="J118:J142" si="39">AND(A118&gt;=$B$15+$B$12,OR($B$13=0,A118&lt;$B$15+$B$13))</f>
        <v>1</v>
      </c>
      <c r="K118" s="10">
        <f t="shared" ref="K118:K142" si="40">IF(E118,$B$16*I118*G118*IF(D118=0,1,(1-(1+D118)^-1)/(12*(1-(1+D118)^(-1/12)))),0)</f>
        <v>0</v>
      </c>
      <c r="L118" s="10">
        <f t="shared" ref="L118:L142" ca="1" si="41">IF(J118,I118*G118*F118*H118,0)</f>
        <v>1.1452340239141568E-21</v>
      </c>
      <c r="M118" s="10">
        <f t="shared" ref="M118:M142" ca="1" si="42">K118+L118</f>
        <v>1.1452340239141568E-21</v>
      </c>
    </row>
    <row r="119" spans="1:13">
      <c r="A119" s="8">
        <v>97</v>
      </c>
      <c r="B119" s="8">
        <f t="shared" si="22"/>
        <v>162</v>
      </c>
      <c r="C119" s="9">
        <f t="shared" ca="1" si="34"/>
        <v>0.5</v>
      </c>
      <c r="D119" s="16">
        <f t="shared" si="35"/>
        <v>5.5E-2</v>
      </c>
      <c r="E119" s="2" t="b">
        <f t="shared" si="36"/>
        <v>0</v>
      </c>
      <c r="F119" s="10">
        <f t="shared" ref="F119:F142" ca="1" si="43">IF(A119=0,1,F118*(1-C118))</f>
        <v>1.28802319443513E-19</v>
      </c>
      <c r="G119" s="10">
        <f t="shared" si="26"/>
        <v>5.5527921256910235E-3</v>
      </c>
      <c r="H119" s="10">
        <f t="shared" ca="1" si="37"/>
        <v>0.75888625592417058</v>
      </c>
      <c r="I119" s="10">
        <f t="shared" si="38"/>
        <v>1</v>
      </c>
      <c r="J119" s="2" t="b">
        <f t="shared" si="39"/>
        <v>1</v>
      </c>
      <c r="K119" s="10">
        <f t="shared" si="40"/>
        <v>0</v>
      </c>
      <c r="L119" s="10">
        <f t="shared" ca="1" si="41"/>
        <v>5.4276494024367622E-22</v>
      </c>
      <c r="M119" s="10">
        <f t="shared" ca="1" si="42"/>
        <v>5.4276494024367622E-22</v>
      </c>
    </row>
    <row r="120" spans="1:13">
      <c r="A120" s="8">
        <v>98</v>
      </c>
      <c r="B120" s="8">
        <f t="shared" si="22"/>
        <v>163</v>
      </c>
      <c r="C120" s="9">
        <f t="shared" ca="1" si="34"/>
        <v>0.5</v>
      </c>
      <c r="D120" s="16">
        <f t="shared" si="35"/>
        <v>5.5E-2</v>
      </c>
      <c r="E120" s="2" t="b">
        <f t="shared" si="36"/>
        <v>0</v>
      </c>
      <c r="F120" s="10">
        <f t="shared" ca="1" si="43"/>
        <v>6.4401159721756498E-20</v>
      </c>
      <c r="G120" s="10">
        <f t="shared" si="26"/>
        <v>5.2633100717450459E-3</v>
      </c>
      <c r="H120" s="10">
        <f t="shared" ca="1" si="37"/>
        <v>0.75888625592417058</v>
      </c>
      <c r="I120" s="10">
        <f t="shared" si="38"/>
        <v>1</v>
      </c>
      <c r="J120" s="2" t="b">
        <f t="shared" si="39"/>
        <v>1</v>
      </c>
      <c r="K120" s="10">
        <f t="shared" si="40"/>
        <v>0</v>
      </c>
      <c r="L120" s="10">
        <f t="shared" ca="1" si="41"/>
        <v>2.5723456883586547E-22</v>
      </c>
      <c r="M120" s="10">
        <f t="shared" ca="1" si="42"/>
        <v>2.5723456883586547E-22</v>
      </c>
    </row>
    <row r="121" spans="1:13">
      <c r="A121" s="8">
        <v>99</v>
      </c>
      <c r="B121" s="8">
        <f t="shared" si="22"/>
        <v>164</v>
      </c>
      <c r="C121" s="9">
        <f t="shared" ca="1" si="34"/>
        <v>0.5</v>
      </c>
      <c r="D121" s="16">
        <f t="shared" si="35"/>
        <v>5.5E-2</v>
      </c>
      <c r="E121" s="2" t="b">
        <f t="shared" si="36"/>
        <v>0</v>
      </c>
      <c r="F121" s="10">
        <f t="shared" ca="1" si="43"/>
        <v>3.2200579860878249E-20</v>
      </c>
      <c r="G121" s="10">
        <f t="shared" si="26"/>
        <v>4.9889194992844051E-3</v>
      </c>
      <c r="H121" s="10">
        <f t="shared" ca="1" si="37"/>
        <v>0.75888625592417058</v>
      </c>
      <c r="I121" s="10">
        <f t="shared" si="38"/>
        <v>1</v>
      </c>
      <c r="J121" s="2" t="b">
        <f t="shared" si="39"/>
        <v>1</v>
      </c>
      <c r="K121" s="10">
        <f t="shared" si="40"/>
        <v>0</v>
      </c>
      <c r="L121" s="10">
        <f t="shared" ca="1" si="41"/>
        <v>1.2191211793168985E-22</v>
      </c>
      <c r="M121" s="10">
        <f t="shared" ca="1" si="42"/>
        <v>1.2191211793168985E-22</v>
      </c>
    </row>
    <row r="122" spans="1:13">
      <c r="A122" s="8">
        <v>100</v>
      </c>
      <c r="B122" s="8">
        <f t="shared" si="22"/>
        <v>165</v>
      </c>
      <c r="C122" s="9">
        <f t="shared" ca="1" si="34"/>
        <v>0.5</v>
      </c>
      <c r="D122" s="16">
        <f t="shared" si="35"/>
        <v>5.5E-2</v>
      </c>
      <c r="E122" s="2" t="b">
        <f t="shared" si="36"/>
        <v>0</v>
      </c>
      <c r="F122" s="10">
        <f t="shared" ca="1" si="43"/>
        <v>1.6100289930439124E-20</v>
      </c>
      <c r="G122" s="10">
        <f t="shared" si="26"/>
        <v>4.72883364861081E-3</v>
      </c>
      <c r="H122" s="10">
        <f t="shared" ca="1" si="37"/>
        <v>0.75888625592417058</v>
      </c>
      <c r="I122" s="10">
        <f t="shared" si="38"/>
        <v>1</v>
      </c>
      <c r="J122" s="2" t="b">
        <f t="shared" si="39"/>
        <v>1</v>
      </c>
      <c r="K122" s="10">
        <f t="shared" si="40"/>
        <v>0</v>
      </c>
      <c r="L122" s="10">
        <f t="shared" ca="1" si="41"/>
        <v>5.7778254943928827E-23</v>
      </c>
      <c r="M122" s="10">
        <f t="shared" ca="1" si="42"/>
        <v>5.7778254943928827E-23</v>
      </c>
    </row>
    <row r="123" spans="1:13">
      <c r="A123" s="8">
        <v>101</v>
      </c>
      <c r="B123" s="8">
        <f t="shared" si="22"/>
        <v>166</v>
      </c>
      <c r="C123" s="9">
        <f t="shared" ca="1" si="34"/>
        <v>0.5</v>
      </c>
      <c r="D123" s="16">
        <f t="shared" si="35"/>
        <v>5.5E-2</v>
      </c>
      <c r="E123" s="2" t="b">
        <f t="shared" si="36"/>
        <v>0</v>
      </c>
      <c r="F123" s="10">
        <f t="shared" ca="1" si="43"/>
        <v>8.0501449652195622E-21</v>
      </c>
      <c r="G123" s="10">
        <f t="shared" si="26"/>
        <v>4.4823067759344176E-3</v>
      </c>
      <c r="H123" s="10">
        <f t="shared" ca="1" si="37"/>
        <v>0.75888625592417058</v>
      </c>
      <c r="I123" s="10">
        <f t="shared" si="38"/>
        <v>1</v>
      </c>
      <c r="J123" s="2" t="b">
        <f t="shared" si="39"/>
        <v>1</v>
      </c>
      <c r="K123" s="10">
        <f t="shared" si="40"/>
        <v>0</v>
      </c>
      <c r="L123" s="10">
        <f t="shared" ca="1" si="41"/>
        <v>2.7383059215132152E-23</v>
      </c>
      <c r="M123" s="10">
        <f t="shared" ca="1" si="42"/>
        <v>2.7383059215132152E-23</v>
      </c>
    </row>
    <row r="124" spans="1:13">
      <c r="A124" s="8">
        <v>102</v>
      </c>
      <c r="B124" s="8">
        <f t="shared" si="22"/>
        <v>167</v>
      </c>
      <c r="C124" s="9">
        <f t="shared" ca="1" si="34"/>
        <v>0.5</v>
      </c>
      <c r="D124" s="16">
        <f t="shared" si="35"/>
        <v>5.5E-2</v>
      </c>
      <c r="E124" s="2" t="b">
        <f t="shared" si="36"/>
        <v>0</v>
      </c>
      <c r="F124" s="10">
        <f t="shared" ca="1" si="43"/>
        <v>4.0250724826097811E-21</v>
      </c>
      <c r="G124" s="10">
        <f t="shared" si="26"/>
        <v>4.248632015103713E-3</v>
      </c>
      <c r="H124" s="10">
        <f t="shared" ca="1" si="37"/>
        <v>0.75888625592417058</v>
      </c>
      <c r="I124" s="10">
        <f t="shared" si="38"/>
        <v>1</v>
      </c>
      <c r="J124" s="2" t="b">
        <f t="shared" si="39"/>
        <v>1</v>
      </c>
      <c r="K124" s="10">
        <f t="shared" si="40"/>
        <v>0</v>
      </c>
      <c r="L124" s="10">
        <f t="shared" ca="1" si="41"/>
        <v>1.2977753182527084E-23</v>
      </c>
      <c r="M124" s="10">
        <f t="shared" ca="1" si="42"/>
        <v>1.2977753182527084E-23</v>
      </c>
    </row>
    <row r="125" spans="1:13">
      <c r="A125" s="8">
        <v>103</v>
      </c>
      <c r="B125" s="8">
        <f t="shared" si="22"/>
        <v>168</v>
      </c>
      <c r="C125" s="9">
        <f t="shared" ca="1" si="34"/>
        <v>0.5</v>
      </c>
      <c r="D125" s="16">
        <f t="shared" si="35"/>
        <v>5.5E-2</v>
      </c>
      <c r="E125" s="2" t="b">
        <f t="shared" si="36"/>
        <v>0</v>
      </c>
      <c r="F125" s="10">
        <f t="shared" ca="1" si="43"/>
        <v>2.0125362413048906E-21</v>
      </c>
      <c r="G125" s="10">
        <f t="shared" si="26"/>
        <v>4.0271393508092071E-3</v>
      </c>
      <c r="H125" s="10">
        <f t="shared" ca="1" si="37"/>
        <v>0.75888625592417058</v>
      </c>
      <c r="I125" s="10">
        <f t="shared" si="38"/>
        <v>1</v>
      </c>
      <c r="J125" s="2" t="b">
        <f t="shared" si="39"/>
        <v>1</v>
      </c>
      <c r="K125" s="10">
        <f t="shared" si="40"/>
        <v>0</v>
      </c>
      <c r="L125" s="10">
        <f t="shared" ca="1" si="41"/>
        <v>6.1505939253682873E-24</v>
      </c>
      <c r="M125" s="10">
        <f t="shared" ca="1" si="42"/>
        <v>6.1505939253682873E-24</v>
      </c>
    </row>
    <row r="126" spans="1:13">
      <c r="A126" s="8">
        <v>104</v>
      </c>
      <c r="B126" s="8">
        <f t="shared" si="22"/>
        <v>169</v>
      </c>
      <c r="C126" s="9">
        <f t="shared" ca="1" si="34"/>
        <v>0.5</v>
      </c>
      <c r="D126" s="16">
        <f t="shared" si="35"/>
        <v>5.5E-2</v>
      </c>
      <c r="E126" s="2" t="b">
        <f t="shared" si="36"/>
        <v>0</v>
      </c>
      <c r="F126" s="10">
        <f t="shared" ca="1" si="43"/>
        <v>1.0062681206524453E-21</v>
      </c>
      <c r="G126" s="10">
        <f t="shared" si="26"/>
        <v>3.8171936974494853E-3</v>
      </c>
      <c r="H126" s="10">
        <f t="shared" ca="1" si="37"/>
        <v>0.75888625592417058</v>
      </c>
      <c r="I126" s="10">
        <f t="shared" si="38"/>
        <v>1</v>
      </c>
      <c r="J126" s="2" t="b">
        <f t="shared" si="39"/>
        <v>1</v>
      </c>
      <c r="K126" s="10">
        <f t="shared" si="40"/>
        <v>0</v>
      </c>
      <c r="L126" s="10">
        <f t="shared" ca="1" si="41"/>
        <v>2.9149734243451598E-24</v>
      </c>
      <c r="M126" s="10">
        <f t="shared" ca="1" si="42"/>
        <v>2.9149734243451598E-24</v>
      </c>
    </row>
    <row r="127" spans="1:13">
      <c r="A127" s="8">
        <v>105</v>
      </c>
      <c r="B127" s="8">
        <f t="shared" si="22"/>
        <v>170</v>
      </c>
      <c r="C127" s="9">
        <f t="shared" ca="1" si="34"/>
        <v>0.5</v>
      </c>
      <c r="D127" s="16">
        <f t="shared" si="35"/>
        <v>5.5E-2</v>
      </c>
      <c r="E127" s="2" t="b">
        <f t="shared" si="36"/>
        <v>0</v>
      </c>
      <c r="F127" s="10">
        <f t="shared" ca="1" si="43"/>
        <v>5.0313406032622264E-22</v>
      </c>
      <c r="G127" s="10">
        <f t="shared" si="26"/>
        <v>3.6181930781511713E-3</v>
      </c>
      <c r="H127" s="10">
        <f t="shared" ca="1" si="37"/>
        <v>0.75888625592417058</v>
      </c>
      <c r="I127" s="10">
        <f t="shared" si="38"/>
        <v>1</v>
      </c>
      <c r="J127" s="2" t="b">
        <f t="shared" si="39"/>
        <v>1</v>
      </c>
      <c r="K127" s="10">
        <f t="shared" si="40"/>
        <v>0</v>
      </c>
      <c r="L127" s="10">
        <f t="shared" ca="1" si="41"/>
        <v>1.3815039925806445E-24</v>
      </c>
      <c r="M127" s="10">
        <f t="shared" ca="1" si="42"/>
        <v>1.3815039925806445E-24</v>
      </c>
    </row>
    <row r="128" spans="1:13">
      <c r="A128" s="8">
        <v>106</v>
      </c>
      <c r="B128" s="8">
        <f t="shared" si="22"/>
        <v>171</v>
      </c>
      <c r="C128" s="9">
        <f t="shared" ca="1" si="34"/>
        <v>0.5</v>
      </c>
      <c r="D128" s="16">
        <f t="shared" si="35"/>
        <v>5.5E-2</v>
      </c>
      <c r="E128" s="2" t="b">
        <f t="shared" si="36"/>
        <v>0</v>
      </c>
      <c r="F128" s="10">
        <f t="shared" ca="1" si="43"/>
        <v>2.5156703016311132E-22</v>
      </c>
      <c r="G128" s="10">
        <f t="shared" si="26"/>
        <v>3.4295668987214894E-3</v>
      </c>
      <c r="H128" s="10">
        <f t="shared" ca="1" si="37"/>
        <v>0.75888625592417058</v>
      </c>
      <c r="I128" s="10">
        <f t="shared" si="38"/>
        <v>1</v>
      </c>
      <c r="J128" s="2" t="b">
        <f t="shared" si="39"/>
        <v>1</v>
      </c>
      <c r="K128" s="10">
        <f t="shared" si="40"/>
        <v>0</v>
      </c>
      <c r="L128" s="10">
        <f t="shared" ca="1" si="41"/>
        <v>6.5474122871120599E-25</v>
      </c>
      <c r="M128" s="10">
        <f t="shared" ca="1" si="42"/>
        <v>6.5474122871120599E-25</v>
      </c>
    </row>
    <row r="129" spans="1:13">
      <c r="A129" s="8">
        <v>107</v>
      </c>
      <c r="B129" s="8">
        <f t="shared" si="22"/>
        <v>172</v>
      </c>
      <c r="C129" s="9">
        <f t="shared" ca="1" si="34"/>
        <v>0.5</v>
      </c>
      <c r="D129" s="16">
        <f t="shared" si="35"/>
        <v>5.5E-2</v>
      </c>
      <c r="E129" s="2" t="b">
        <f t="shared" si="36"/>
        <v>0</v>
      </c>
      <c r="F129" s="10">
        <f t="shared" ca="1" si="43"/>
        <v>1.2578351508155566E-22</v>
      </c>
      <c r="G129" s="10">
        <f t="shared" si="26"/>
        <v>3.2507743115843504E-3</v>
      </c>
      <c r="H129" s="10">
        <f t="shared" ca="1" si="37"/>
        <v>0.75888625592417058</v>
      </c>
      <c r="I129" s="10">
        <f t="shared" si="38"/>
        <v>1</v>
      </c>
      <c r="J129" s="2" t="b">
        <f t="shared" si="39"/>
        <v>1</v>
      </c>
      <c r="K129" s="10">
        <f t="shared" si="40"/>
        <v>0</v>
      </c>
      <c r="L129" s="10">
        <f t="shared" ca="1" si="41"/>
        <v>3.1030389986313083E-25</v>
      </c>
      <c r="M129" s="10">
        <f t="shared" ca="1" si="42"/>
        <v>3.1030389986313083E-25</v>
      </c>
    </row>
    <row r="130" spans="1:13">
      <c r="A130" s="8">
        <v>108</v>
      </c>
      <c r="B130" s="8">
        <f t="shared" si="22"/>
        <v>173</v>
      </c>
      <c r="C130" s="9">
        <f t="shared" ca="1" si="34"/>
        <v>0.5</v>
      </c>
      <c r="D130" s="16">
        <f t="shared" si="35"/>
        <v>5.5E-2</v>
      </c>
      <c r="E130" s="2" t="b">
        <f t="shared" si="36"/>
        <v>0</v>
      </c>
      <c r="F130" s="10">
        <f t="shared" ca="1" si="43"/>
        <v>6.289175754077783E-23</v>
      </c>
      <c r="G130" s="10">
        <f t="shared" si="26"/>
        <v>3.0813026650088628E-3</v>
      </c>
      <c r="H130" s="10">
        <f t="shared" ca="1" si="37"/>
        <v>0.75888625592417058</v>
      </c>
      <c r="I130" s="10">
        <f t="shared" si="38"/>
        <v>1</v>
      </c>
      <c r="J130" s="2" t="b">
        <f t="shared" si="39"/>
        <v>1</v>
      </c>
      <c r="K130" s="10">
        <f t="shared" si="40"/>
        <v>0</v>
      </c>
      <c r="L130" s="10">
        <f t="shared" ca="1" si="41"/>
        <v>1.4706345965077289E-25</v>
      </c>
      <c r="M130" s="10">
        <f t="shared" ca="1" si="42"/>
        <v>1.4706345965077289E-25</v>
      </c>
    </row>
    <row r="131" spans="1:13">
      <c r="A131" s="8">
        <v>109</v>
      </c>
      <c r="B131" s="8">
        <f t="shared" si="22"/>
        <v>174</v>
      </c>
      <c r="C131" s="9">
        <f t="shared" ca="1" si="34"/>
        <v>0.5</v>
      </c>
      <c r="D131" s="16">
        <f t="shared" si="35"/>
        <v>5.5E-2</v>
      </c>
      <c r="E131" s="2" t="b">
        <f t="shared" si="36"/>
        <v>0</v>
      </c>
      <c r="F131" s="10">
        <f t="shared" ca="1" si="43"/>
        <v>3.1445878770388915E-23</v>
      </c>
      <c r="G131" s="10">
        <f t="shared" si="26"/>
        <v>2.9206660331837562E-3</v>
      </c>
      <c r="H131" s="10">
        <f t="shared" ca="1" si="37"/>
        <v>0.75888625592417058</v>
      </c>
      <c r="I131" s="10">
        <f t="shared" si="38"/>
        <v>1</v>
      </c>
      <c r="J131" s="2" t="b">
        <f t="shared" si="39"/>
        <v>1</v>
      </c>
      <c r="K131" s="10">
        <f t="shared" si="40"/>
        <v>0</v>
      </c>
      <c r="L131" s="10">
        <f t="shared" ca="1" si="41"/>
        <v>6.969832210937104E-26</v>
      </c>
      <c r="M131" s="10">
        <f t="shared" ca="1" si="42"/>
        <v>6.969832210937104E-26</v>
      </c>
    </row>
    <row r="132" spans="1:13">
      <c r="A132" s="8">
        <v>110</v>
      </c>
      <c r="B132" s="8">
        <f t="shared" si="22"/>
        <v>175</v>
      </c>
      <c r="C132" s="9">
        <f t="shared" ca="1" si="34"/>
        <v>0.5</v>
      </c>
      <c r="D132" s="16">
        <f t="shared" si="35"/>
        <v>5.5E-2</v>
      </c>
      <c r="E132" s="2" t="b">
        <f t="shared" si="36"/>
        <v>0</v>
      </c>
      <c r="F132" s="10">
        <f t="shared" ca="1" si="43"/>
        <v>1.5722939385194457E-23</v>
      </c>
      <c r="G132" s="10">
        <f t="shared" si="26"/>
        <v>2.7684038229229919E-3</v>
      </c>
      <c r="H132" s="10">
        <f t="shared" ca="1" si="37"/>
        <v>0.75888625592417058</v>
      </c>
      <c r="I132" s="10">
        <f t="shared" si="38"/>
        <v>1</v>
      </c>
      <c r="J132" s="2" t="b">
        <f t="shared" si="39"/>
        <v>1</v>
      </c>
      <c r="K132" s="10">
        <f t="shared" si="40"/>
        <v>0</v>
      </c>
      <c r="L132" s="10">
        <f t="shared" ca="1" si="41"/>
        <v>3.303238014662135E-26</v>
      </c>
      <c r="M132" s="10">
        <f t="shared" ca="1" si="42"/>
        <v>3.303238014662135E-26</v>
      </c>
    </row>
    <row r="133" spans="1:13">
      <c r="A133" s="8">
        <v>111</v>
      </c>
      <c r="B133" s="8">
        <f t="shared" si="22"/>
        <v>176</v>
      </c>
      <c r="C133" s="9">
        <f t="shared" ca="1" si="34"/>
        <v>0.5</v>
      </c>
      <c r="D133" s="16">
        <f t="shared" si="35"/>
        <v>5.5E-2</v>
      </c>
      <c r="E133" s="2" t="b">
        <f t="shared" si="36"/>
        <v>0</v>
      </c>
      <c r="F133" s="10">
        <f t="shared" ca="1" si="43"/>
        <v>7.8614696925972287E-24</v>
      </c>
      <c r="G133" s="10">
        <f t="shared" si="26"/>
        <v>2.6240794530075751E-3</v>
      </c>
      <c r="H133" s="10">
        <f t="shared" ca="1" si="37"/>
        <v>0.75888625592417058</v>
      </c>
      <c r="I133" s="10">
        <f t="shared" si="38"/>
        <v>1</v>
      </c>
      <c r="J133" s="2" t="b">
        <f t="shared" si="39"/>
        <v>1</v>
      </c>
      <c r="K133" s="10">
        <f t="shared" si="40"/>
        <v>0</v>
      </c>
      <c r="L133" s="10">
        <f t="shared" ca="1" si="41"/>
        <v>1.5655156467593056E-26</v>
      </c>
      <c r="M133" s="10">
        <f t="shared" ca="1" si="42"/>
        <v>1.5655156467593056E-26</v>
      </c>
    </row>
    <row r="134" spans="1:13">
      <c r="A134" s="8">
        <v>112</v>
      </c>
      <c r="B134" s="8">
        <f t="shared" si="22"/>
        <v>177</v>
      </c>
      <c r="C134" s="9">
        <f t="shared" ca="1" si="34"/>
        <v>0.5</v>
      </c>
      <c r="D134" s="16">
        <f t="shared" si="35"/>
        <v>5.5E-2</v>
      </c>
      <c r="E134" s="2" t="b">
        <f t="shared" si="36"/>
        <v>0</v>
      </c>
      <c r="F134" s="10">
        <f t="shared" ca="1" si="43"/>
        <v>3.9307348462986144E-24</v>
      </c>
      <c r="G134" s="10">
        <f t="shared" si="26"/>
        <v>2.487279102376849E-3</v>
      </c>
      <c r="H134" s="10">
        <f t="shared" ca="1" si="37"/>
        <v>0.75888625592417058</v>
      </c>
      <c r="I134" s="10">
        <f t="shared" si="38"/>
        <v>1</v>
      </c>
      <c r="J134" s="2" t="b">
        <f t="shared" si="39"/>
        <v>1</v>
      </c>
      <c r="K134" s="10">
        <f t="shared" si="40"/>
        <v>0</v>
      </c>
      <c r="L134" s="10">
        <f t="shared" ca="1" si="41"/>
        <v>7.4195054348782268E-27</v>
      </c>
      <c r="M134" s="10">
        <f t="shared" ca="1" si="42"/>
        <v>7.4195054348782268E-27</v>
      </c>
    </row>
    <row r="135" spans="1:13">
      <c r="A135" s="8">
        <v>113</v>
      </c>
      <c r="B135" s="8">
        <f t="shared" si="22"/>
        <v>178</v>
      </c>
      <c r="C135" s="9">
        <f t="shared" ca="1" si="34"/>
        <v>0.5</v>
      </c>
      <c r="D135" s="16">
        <f t="shared" si="35"/>
        <v>5.5E-2</v>
      </c>
      <c r="E135" s="2" t="b">
        <f t="shared" si="36"/>
        <v>0</v>
      </c>
      <c r="F135" s="10">
        <f t="shared" ca="1" si="43"/>
        <v>1.9653674231493072E-24</v>
      </c>
      <c r="G135" s="10">
        <f t="shared" si="26"/>
        <v>2.357610523579952E-3</v>
      </c>
      <c r="H135" s="10">
        <f t="shared" ca="1" si="37"/>
        <v>0.75888625592417058</v>
      </c>
      <c r="I135" s="10">
        <f t="shared" si="38"/>
        <v>1</v>
      </c>
      <c r="J135" s="2" t="b">
        <f t="shared" si="39"/>
        <v>1</v>
      </c>
      <c r="K135" s="10">
        <f t="shared" si="40"/>
        <v>0</v>
      </c>
      <c r="L135" s="10">
        <f t="shared" ca="1" si="41"/>
        <v>3.5163532866721458E-27</v>
      </c>
      <c r="M135" s="10">
        <f t="shared" ca="1" si="42"/>
        <v>3.5163532866721458E-27</v>
      </c>
    </row>
    <row r="136" spans="1:13">
      <c r="A136" s="8">
        <v>114</v>
      </c>
      <c r="B136" s="8">
        <f t="shared" si="22"/>
        <v>179</v>
      </c>
      <c r="C136" s="9">
        <f t="shared" ca="1" si="34"/>
        <v>0.5</v>
      </c>
      <c r="D136" s="16">
        <f t="shared" si="35"/>
        <v>5.5E-2</v>
      </c>
      <c r="E136" s="2" t="b">
        <f t="shared" si="36"/>
        <v>0</v>
      </c>
      <c r="F136" s="10">
        <f t="shared" ca="1" si="43"/>
        <v>9.8268371157465359E-25</v>
      </c>
      <c r="G136" s="10">
        <f t="shared" si="26"/>
        <v>2.2347019180852623E-3</v>
      </c>
      <c r="H136" s="10">
        <f t="shared" ca="1" si="37"/>
        <v>0.75888625592417058</v>
      </c>
      <c r="I136" s="10">
        <f t="shared" si="38"/>
        <v>1</v>
      </c>
      <c r="J136" s="2" t="b">
        <f t="shared" si="39"/>
        <v>1</v>
      </c>
      <c r="K136" s="10">
        <f t="shared" si="40"/>
        <v>0</v>
      </c>
      <c r="L136" s="10">
        <f t="shared" ca="1" si="41"/>
        <v>1.6665181453422491E-27</v>
      </c>
      <c r="M136" s="10">
        <f t="shared" ca="1" si="42"/>
        <v>1.6665181453422491E-27</v>
      </c>
    </row>
    <row r="137" spans="1:13">
      <c r="A137" s="8">
        <v>115</v>
      </c>
      <c r="B137" s="8">
        <f t="shared" si="22"/>
        <v>180</v>
      </c>
      <c r="C137" s="9">
        <f t="shared" ca="1" si="34"/>
        <v>0.5</v>
      </c>
      <c r="D137" s="16">
        <f t="shared" si="35"/>
        <v>5.5E-2</v>
      </c>
      <c r="E137" s="2" t="b">
        <f t="shared" si="36"/>
        <v>0</v>
      </c>
      <c r="F137" s="10">
        <f t="shared" ca="1" si="43"/>
        <v>4.913418557873268E-25</v>
      </c>
      <c r="G137" s="10">
        <f t="shared" si="26"/>
        <v>2.1182008702229976E-3</v>
      </c>
      <c r="H137" s="10">
        <f t="shared" ca="1" si="37"/>
        <v>0.75888625592417058</v>
      </c>
      <c r="I137" s="10">
        <f t="shared" si="38"/>
        <v>1</v>
      </c>
      <c r="J137" s="2" t="b">
        <f t="shared" si="39"/>
        <v>1</v>
      </c>
      <c r="K137" s="10">
        <f t="shared" si="40"/>
        <v>0</v>
      </c>
      <c r="L137" s="10">
        <f t="shared" ca="1" si="41"/>
        <v>7.8981902622855409E-28</v>
      </c>
      <c r="M137" s="10">
        <f t="shared" ca="1" si="42"/>
        <v>7.8981902622855409E-28</v>
      </c>
    </row>
    <row r="138" spans="1:13">
      <c r="A138" s="8">
        <v>116</v>
      </c>
      <c r="B138" s="8">
        <f t="shared" si="22"/>
        <v>181</v>
      </c>
      <c r="C138" s="9">
        <f t="shared" ca="1" si="34"/>
        <v>0.5</v>
      </c>
      <c r="D138" s="16">
        <f t="shared" si="35"/>
        <v>5.5E-2</v>
      </c>
      <c r="E138" s="2" t="b">
        <f t="shared" si="36"/>
        <v>0</v>
      </c>
      <c r="F138" s="10">
        <f t="shared" ca="1" si="43"/>
        <v>2.456709278936634E-25</v>
      </c>
      <c r="G138" s="10">
        <f t="shared" si="26"/>
        <v>2.007773336704263E-3</v>
      </c>
      <c r="H138" s="10">
        <f t="shared" ca="1" si="37"/>
        <v>0.75888625592417058</v>
      </c>
      <c r="I138" s="10">
        <f t="shared" si="38"/>
        <v>1</v>
      </c>
      <c r="J138" s="2" t="b">
        <f t="shared" si="39"/>
        <v>1</v>
      </c>
      <c r="K138" s="10">
        <f t="shared" si="40"/>
        <v>0</v>
      </c>
      <c r="L138" s="10">
        <f t="shared" ca="1" si="41"/>
        <v>3.7432181337846162E-28</v>
      </c>
      <c r="M138" s="10">
        <f t="shared" ca="1" si="42"/>
        <v>3.7432181337846162E-28</v>
      </c>
    </row>
    <row r="139" spans="1:13">
      <c r="A139" s="8">
        <v>117</v>
      </c>
      <c r="B139" s="8">
        <f t="shared" si="22"/>
        <v>182</v>
      </c>
      <c r="C139" s="9">
        <f t="shared" ca="1" si="34"/>
        <v>0.5</v>
      </c>
      <c r="D139" s="16">
        <f t="shared" si="35"/>
        <v>5.5E-2</v>
      </c>
      <c r="E139" s="2" t="b">
        <f t="shared" si="36"/>
        <v>0</v>
      </c>
      <c r="F139" s="10">
        <f t="shared" ca="1" si="43"/>
        <v>1.228354639468317E-25</v>
      </c>
      <c r="G139" s="10">
        <f t="shared" si="26"/>
        <v>1.9031026888192066E-3</v>
      </c>
      <c r="H139" s="10">
        <f t="shared" ca="1" si="37"/>
        <v>0.75888625592417058</v>
      </c>
      <c r="I139" s="10">
        <f t="shared" si="38"/>
        <v>1</v>
      </c>
      <c r="J139" s="2" t="b">
        <f t="shared" si="39"/>
        <v>1</v>
      </c>
      <c r="K139" s="10">
        <f t="shared" si="40"/>
        <v>0</v>
      </c>
      <c r="L139" s="10">
        <f t="shared" ca="1" si="41"/>
        <v>1.7740370302296761E-28</v>
      </c>
      <c r="M139" s="10">
        <f t="shared" ca="1" si="42"/>
        <v>1.7740370302296761E-28</v>
      </c>
    </row>
    <row r="140" spans="1:13">
      <c r="A140" s="8">
        <v>118</v>
      </c>
      <c r="B140" s="8">
        <f t="shared" si="22"/>
        <v>183</v>
      </c>
      <c r="C140" s="9">
        <f t="shared" ca="1" si="34"/>
        <v>0.5</v>
      </c>
      <c r="D140" s="16">
        <f t="shared" si="35"/>
        <v>5.5E-2</v>
      </c>
      <c r="E140" s="2" t="b">
        <f t="shared" si="36"/>
        <v>0</v>
      </c>
      <c r="F140" s="10">
        <f t="shared" ca="1" si="43"/>
        <v>6.141773197341585E-26</v>
      </c>
      <c r="G140" s="10">
        <f t="shared" si="26"/>
        <v>1.8038888045679685E-3</v>
      </c>
      <c r="H140" s="10">
        <f t="shared" ca="1" si="37"/>
        <v>0.75888625592417058</v>
      </c>
      <c r="I140" s="10">
        <f t="shared" si="38"/>
        <v>1</v>
      </c>
      <c r="J140" s="2" t="b">
        <f t="shared" si="39"/>
        <v>1</v>
      </c>
      <c r="K140" s="10">
        <f t="shared" si="40"/>
        <v>0</v>
      </c>
      <c r="L140" s="10">
        <f t="shared" ca="1" si="41"/>
        <v>8.4077584371074701E-29</v>
      </c>
      <c r="M140" s="10">
        <f t="shared" ca="1" si="42"/>
        <v>8.4077584371074701E-29</v>
      </c>
    </row>
    <row r="141" spans="1:13">
      <c r="A141" s="8">
        <v>119</v>
      </c>
      <c r="B141" s="8">
        <f t="shared" si="22"/>
        <v>184</v>
      </c>
      <c r="C141" s="9">
        <f t="shared" ca="1" si="34"/>
        <v>0.5</v>
      </c>
      <c r="D141" s="16">
        <f t="shared" si="35"/>
        <v>5.5E-2</v>
      </c>
      <c r="E141" s="2" t="b">
        <f t="shared" si="36"/>
        <v>0</v>
      </c>
      <c r="F141" s="10">
        <f t="shared" ca="1" si="43"/>
        <v>3.0708865986707925E-26</v>
      </c>
      <c r="G141" s="10">
        <f t="shared" si="26"/>
        <v>1.7098472081212976E-3</v>
      </c>
      <c r="H141" s="10">
        <f t="shared" ca="1" si="37"/>
        <v>0.75888625592417058</v>
      </c>
      <c r="I141" s="10">
        <f t="shared" si="38"/>
        <v>1</v>
      </c>
      <c r="J141" s="2" t="b">
        <f t="shared" si="39"/>
        <v>1</v>
      </c>
      <c r="K141" s="10">
        <f t="shared" si="40"/>
        <v>0</v>
      </c>
      <c r="L141" s="10">
        <f t="shared" ca="1" si="41"/>
        <v>3.9847196384395601E-29</v>
      </c>
      <c r="M141" s="10">
        <f t="shared" ca="1" si="42"/>
        <v>3.9847196384395601E-29</v>
      </c>
    </row>
    <row r="142" spans="1:13">
      <c r="A142" s="8">
        <v>120</v>
      </c>
      <c r="B142" s="8">
        <f t="shared" si="22"/>
        <v>185</v>
      </c>
      <c r="C142" s="9">
        <f t="shared" ca="1" si="34"/>
        <v>0.5</v>
      </c>
      <c r="D142" s="16">
        <f t="shared" si="35"/>
        <v>5.5E-2</v>
      </c>
      <c r="E142" s="2" t="b">
        <f t="shared" si="36"/>
        <v>0</v>
      </c>
      <c r="F142" s="10">
        <f t="shared" ca="1" si="43"/>
        <v>1.5354432993353962E-26</v>
      </c>
      <c r="G142" s="10">
        <f t="shared" si="26"/>
        <v>1.6207082541434099E-3</v>
      </c>
      <c r="H142" s="10">
        <f t="shared" ca="1" si="37"/>
        <v>0.75888625592417058</v>
      </c>
      <c r="I142" s="10">
        <f t="shared" si="38"/>
        <v>1</v>
      </c>
      <c r="J142" s="2" t="b">
        <f t="shared" si="39"/>
        <v>1</v>
      </c>
      <c r="K142" s="10">
        <f t="shared" si="40"/>
        <v>0</v>
      </c>
      <c r="L142" s="10">
        <f t="shared" ca="1" si="41"/>
        <v>1.8884927196396018E-29</v>
      </c>
      <c r="M142" s="10">
        <f t="shared" ca="1" si="42"/>
        <v>1.8884927196396018E-29</v>
      </c>
    </row>
  </sheetData>
  <mergeCells count="17">
    <mergeCell ref="C19:M19"/>
    <mergeCell ref="C13:M13"/>
    <mergeCell ref="C14:M14"/>
    <mergeCell ref="C15:M15"/>
    <mergeCell ref="C16:M16"/>
    <mergeCell ref="C17:M17"/>
    <mergeCell ref="C18:M18"/>
    <mergeCell ref="A1:M1"/>
    <mergeCell ref="B3:M3"/>
    <mergeCell ref="B4:M4"/>
    <mergeCell ref="C11:M11"/>
    <mergeCell ref="C12:M12"/>
    <mergeCell ref="C6:M6"/>
    <mergeCell ref="C7:M7"/>
    <mergeCell ref="C8:M8"/>
    <mergeCell ref="C9:M9"/>
    <mergeCell ref="C10:M10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5948-E2B1-4A1E-805B-FB29ED8359BD}">
  <dimension ref="A1:B123"/>
  <sheetViews>
    <sheetView workbookViewId="0">
      <pane ySplit="1" topLeftCell="A2" activePane="bottomLeft" state="frozen"/>
      <selection pane="bottomLeft" activeCell="A3" sqref="A3"/>
    </sheetView>
  </sheetViews>
  <sheetFormatPr defaultRowHeight="15"/>
  <sheetData>
    <row r="1" spans="1:2">
      <c r="A1" s="21" t="s">
        <v>17</v>
      </c>
      <c r="B1" s="21"/>
    </row>
    <row r="2" spans="1:2">
      <c r="A2" s="13" t="s">
        <v>50</v>
      </c>
      <c r="B2" s="13" t="s">
        <v>51</v>
      </c>
    </row>
    <row r="3" spans="1:2">
      <c r="A3" s="1">
        <v>0</v>
      </c>
      <c r="B3" s="12">
        <v>3.2599999999999999E-3</v>
      </c>
    </row>
    <row r="4" spans="1:2">
      <c r="A4" s="1">
        <f t="shared" ref="A4:A35" si="0">A3+1</f>
        <v>1</v>
      </c>
      <c r="B4" s="12">
        <v>2.3000000000000001E-4</v>
      </c>
    </row>
    <row r="5" spans="1:2">
      <c r="A5" s="1">
        <f t="shared" si="0"/>
        <v>2</v>
      </c>
      <c r="B5" s="12">
        <v>1.4999999999999999E-4</v>
      </c>
    </row>
    <row r="6" spans="1:2">
      <c r="A6" s="1">
        <f t="shared" si="0"/>
        <v>3</v>
      </c>
      <c r="B6" s="12">
        <v>1.1E-4</v>
      </c>
    </row>
    <row r="7" spans="1:2">
      <c r="A7" s="1">
        <f t="shared" si="0"/>
        <v>4</v>
      </c>
      <c r="B7" s="12">
        <v>9.0000000000000006E-5</v>
      </c>
    </row>
    <row r="8" spans="1:2">
      <c r="A8" s="1">
        <f t="shared" si="0"/>
        <v>5</v>
      </c>
      <c r="B8" s="12">
        <v>8.0000000000000007E-5</v>
      </c>
    </row>
    <row r="9" spans="1:2">
      <c r="A9" s="1">
        <f t="shared" si="0"/>
        <v>6</v>
      </c>
      <c r="B9" s="12">
        <v>6.9999999999999994E-5</v>
      </c>
    </row>
    <row r="10" spans="1:2">
      <c r="A10" s="1">
        <f t="shared" si="0"/>
        <v>7</v>
      </c>
      <c r="B10" s="12">
        <v>6.9999999999999994E-5</v>
      </c>
    </row>
    <row r="11" spans="1:2">
      <c r="A11" s="1">
        <f t="shared" si="0"/>
        <v>8</v>
      </c>
      <c r="B11" s="12">
        <v>6.0000000000000002E-5</v>
      </c>
    </row>
    <row r="12" spans="1:2">
      <c r="A12" s="1">
        <f t="shared" si="0"/>
        <v>9</v>
      </c>
      <c r="B12" s="12">
        <v>5.0000000000000002E-5</v>
      </c>
    </row>
    <row r="13" spans="1:2">
      <c r="A13" s="1">
        <f t="shared" si="0"/>
        <v>10</v>
      </c>
      <c r="B13" s="12">
        <v>5.0000000000000002E-5</v>
      </c>
    </row>
    <row r="14" spans="1:2">
      <c r="A14" s="1">
        <f t="shared" si="0"/>
        <v>11</v>
      </c>
      <c r="B14" s="12">
        <v>5.0000000000000002E-5</v>
      </c>
    </row>
    <row r="15" spans="1:2">
      <c r="A15" s="1">
        <f t="shared" si="0"/>
        <v>12</v>
      </c>
      <c r="B15" s="12">
        <v>6.9999999999999994E-5</v>
      </c>
    </row>
    <row r="16" spans="1:2">
      <c r="A16" s="1">
        <f t="shared" si="0"/>
        <v>13</v>
      </c>
      <c r="B16" s="12">
        <v>9.0000000000000006E-5</v>
      </c>
    </row>
    <row r="17" spans="1:2">
      <c r="A17" s="1">
        <f t="shared" si="0"/>
        <v>14</v>
      </c>
      <c r="B17" s="12">
        <v>1.1E-4</v>
      </c>
    </row>
    <row r="18" spans="1:2">
      <c r="A18" s="1">
        <f t="shared" si="0"/>
        <v>15</v>
      </c>
      <c r="B18" s="12">
        <v>1.2999999999999999E-4</v>
      </c>
    </row>
    <row r="19" spans="1:2">
      <c r="A19" s="1">
        <f t="shared" si="0"/>
        <v>16</v>
      </c>
      <c r="B19" s="12">
        <v>1.4999999999999999E-4</v>
      </c>
    </row>
    <row r="20" spans="1:2">
      <c r="A20" s="1">
        <f t="shared" si="0"/>
        <v>17</v>
      </c>
      <c r="B20" s="12">
        <v>1.7000000000000001E-4</v>
      </c>
    </row>
    <row r="21" spans="1:2">
      <c r="A21" s="1">
        <f t="shared" si="0"/>
        <v>18</v>
      </c>
      <c r="B21" s="12">
        <v>2.0000000000000001E-4</v>
      </c>
    </row>
    <row r="22" spans="1:2">
      <c r="A22" s="1">
        <f t="shared" si="0"/>
        <v>19</v>
      </c>
      <c r="B22" s="12">
        <v>2.2000000000000001E-4</v>
      </c>
    </row>
    <row r="23" spans="1:2">
      <c r="A23" s="1">
        <f t="shared" si="0"/>
        <v>20</v>
      </c>
      <c r="B23" s="12">
        <v>2.3000000000000001E-4</v>
      </c>
    </row>
    <row r="24" spans="1:2">
      <c r="A24" s="1">
        <f t="shared" si="0"/>
        <v>21</v>
      </c>
      <c r="B24" s="12">
        <v>2.3000000000000001E-4</v>
      </c>
    </row>
    <row r="25" spans="1:2">
      <c r="A25" s="1">
        <f t="shared" si="0"/>
        <v>22</v>
      </c>
      <c r="B25" s="12">
        <v>2.4000000000000001E-4</v>
      </c>
    </row>
    <row r="26" spans="1:2">
      <c r="A26" s="1">
        <f t="shared" si="0"/>
        <v>23</v>
      </c>
      <c r="B26" s="12">
        <v>2.5000000000000001E-4</v>
      </c>
    </row>
    <row r="27" spans="1:2">
      <c r="A27" s="1">
        <f t="shared" si="0"/>
        <v>24</v>
      </c>
      <c r="B27" s="12">
        <v>2.5999999999999998E-4</v>
      </c>
    </row>
    <row r="28" spans="1:2">
      <c r="A28" s="1">
        <f t="shared" si="0"/>
        <v>25</v>
      </c>
      <c r="B28" s="12">
        <v>2.7E-4</v>
      </c>
    </row>
    <row r="29" spans="1:2">
      <c r="A29" s="1">
        <f t="shared" si="0"/>
        <v>26</v>
      </c>
      <c r="B29" s="12">
        <v>2.7E-4</v>
      </c>
    </row>
    <row r="30" spans="1:2">
      <c r="A30" s="1">
        <f t="shared" si="0"/>
        <v>27</v>
      </c>
      <c r="B30" s="12">
        <v>2.9E-4</v>
      </c>
    </row>
    <row r="31" spans="1:2">
      <c r="A31" s="1">
        <f t="shared" si="0"/>
        <v>28</v>
      </c>
      <c r="B31" s="12">
        <v>2.9999999999999997E-4</v>
      </c>
    </row>
    <row r="32" spans="1:2">
      <c r="A32" s="1">
        <f t="shared" si="0"/>
        <v>29</v>
      </c>
      <c r="B32" s="12">
        <v>3.1E-4</v>
      </c>
    </row>
    <row r="33" spans="1:2">
      <c r="A33" s="1">
        <f t="shared" si="0"/>
        <v>30</v>
      </c>
      <c r="B33" s="12">
        <v>3.3E-4</v>
      </c>
    </row>
    <row r="34" spans="1:2">
      <c r="A34" s="1">
        <f t="shared" si="0"/>
        <v>31</v>
      </c>
      <c r="B34" s="12">
        <v>3.5E-4</v>
      </c>
    </row>
    <row r="35" spans="1:2">
      <c r="A35" s="1">
        <f t="shared" si="0"/>
        <v>32</v>
      </c>
      <c r="B35" s="12">
        <v>3.6000000000000002E-4</v>
      </c>
    </row>
    <row r="36" spans="1:2">
      <c r="A36" s="1">
        <f t="shared" ref="A36:A67" si="1">A35+1</f>
        <v>33</v>
      </c>
      <c r="B36" s="12">
        <v>4.0000000000000002E-4</v>
      </c>
    </row>
    <row r="37" spans="1:2">
      <c r="A37" s="1">
        <f t="shared" si="1"/>
        <v>34</v>
      </c>
      <c r="B37" s="12">
        <v>4.0999999999999999E-4</v>
      </c>
    </row>
    <row r="38" spans="1:2">
      <c r="A38" s="1">
        <f t="shared" si="1"/>
        <v>35</v>
      </c>
      <c r="B38" s="12">
        <v>4.4000000000000002E-4</v>
      </c>
    </row>
    <row r="39" spans="1:2">
      <c r="A39" s="1">
        <f t="shared" si="1"/>
        <v>36</v>
      </c>
      <c r="B39" s="12">
        <v>4.6000000000000001E-4</v>
      </c>
    </row>
    <row r="40" spans="1:2">
      <c r="A40" s="1">
        <f t="shared" si="1"/>
        <v>37</v>
      </c>
      <c r="B40" s="12">
        <v>4.8999999999999998E-4</v>
      </c>
    </row>
    <row r="41" spans="1:2">
      <c r="A41" s="1">
        <f t="shared" si="1"/>
        <v>38</v>
      </c>
      <c r="B41" s="12">
        <v>5.1000000000000004E-4</v>
      </c>
    </row>
    <row r="42" spans="1:2">
      <c r="A42" s="1">
        <f t="shared" si="1"/>
        <v>39</v>
      </c>
      <c r="B42" s="12">
        <v>5.2999999999999998E-4</v>
      </c>
    </row>
    <row r="43" spans="1:2">
      <c r="A43" s="1">
        <f t="shared" si="1"/>
        <v>40</v>
      </c>
      <c r="B43" s="12">
        <v>5.5000000000000003E-4</v>
      </c>
    </row>
    <row r="44" spans="1:2">
      <c r="A44" s="1">
        <f t="shared" si="1"/>
        <v>41</v>
      </c>
      <c r="B44" s="12">
        <v>5.5999999999999995E-4</v>
      </c>
    </row>
    <row r="45" spans="1:2">
      <c r="A45" s="1">
        <f t="shared" si="1"/>
        <v>42</v>
      </c>
      <c r="B45" s="12">
        <v>5.8E-4</v>
      </c>
    </row>
    <row r="46" spans="1:2">
      <c r="A46" s="1">
        <f t="shared" si="1"/>
        <v>43</v>
      </c>
      <c r="B46" s="12">
        <v>5.9999999999999995E-4</v>
      </c>
    </row>
    <row r="47" spans="1:2">
      <c r="A47" s="1">
        <f t="shared" si="1"/>
        <v>44</v>
      </c>
      <c r="B47" s="12">
        <v>6.3000000000000003E-4</v>
      </c>
    </row>
    <row r="48" spans="1:2">
      <c r="A48" s="1">
        <f t="shared" si="1"/>
        <v>45</v>
      </c>
      <c r="B48" s="12">
        <v>6.4999999999999997E-4</v>
      </c>
    </row>
    <row r="49" spans="1:2">
      <c r="A49" s="1">
        <f t="shared" si="1"/>
        <v>46</v>
      </c>
      <c r="B49" s="12">
        <v>6.8999999999999997E-4</v>
      </c>
    </row>
    <row r="50" spans="1:2">
      <c r="A50" s="1">
        <f t="shared" si="1"/>
        <v>47</v>
      </c>
      <c r="B50" s="12">
        <v>7.2999999999999996E-4</v>
      </c>
    </row>
    <row r="51" spans="1:2">
      <c r="A51" s="1">
        <f t="shared" si="1"/>
        <v>48</v>
      </c>
      <c r="B51" s="12">
        <v>7.6999999999999996E-4</v>
      </c>
    </row>
    <row r="52" spans="1:2">
      <c r="A52" s="1">
        <f t="shared" si="1"/>
        <v>49</v>
      </c>
      <c r="B52" s="12">
        <v>8.3000000000000001E-4</v>
      </c>
    </row>
    <row r="53" spans="1:2">
      <c r="A53" s="1">
        <f t="shared" si="1"/>
        <v>50</v>
      </c>
      <c r="B53" s="12">
        <v>8.9999999999999998E-4</v>
      </c>
    </row>
    <row r="54" spans="1:2">
      <c r="A54" s="1">
        <f t="shared" si="1"/>
        <v>51</v>
      </c>
      <c r="B54" s="12">
        <v>1E-3</v>
      </c>
    </row>
    <row r="55" spans="1:2">
      <c r="A55" s="1">
        <f t="shared" si="1"/>
        <v>52</v>
      </c>
      <c r="B55" s="12">
        <v>1.1199999999999999E-3</v>
      </c>
    </row>
    <row r="56" spans="1:2">
      <c r="A56" s="1">
        <f t="shared" si="1"/>
        <v>53</v>
      </c>
      <c r="B56" s="12">
        <v>1.25E-3</v>
      </c>
    </row>
    <row r="57" spans="1:2">
      <c r="A57" s="1">
        <f t="shared" si="1"/>
        <v>54</v>
      </c>
      <c r="B57" s="12">
        <v>1.42E-3</v>
      </c>
    </row>
    <row r="58" spans="1:2">
      <c r="A58" s="1">
        <f t="shared" si="1"/>
        <v>55</v>
      </c>
      <c r="B58" s="12">
        <v>1.6999999999999999E-3</v>
      </c>
    </row>
    <row r="59" spans="1:2">
      <c r="A59" s="1">
        <f t="shared" si="1"/>
        <v>56</v>
      </c>
      <c r="B59" s="12">
        <v>2.0799999999999998E-3</v>
      </c>
    </row>
    <row r="60" spans="1:2">
      <c r="A60" s="1">
        <f t="shared" si="1"/>
        <v>57</v>
      </c>
      <c r="B60" s="12">
        <v>2.4199999999999998E-3</v>
      </c>
    </row>
    <row r="61" spans="1:2">
      <c r="A61" s="1">
        <f t="shared" si="1"/>
        <v>58</v>
      </c>
      <c r="B61" s="12">
        <v>2.81E-3</v>
      </c>
    </row>
    <row r="62" spans="1:2">
      <c r="A62" s="1">
        <f t="shared" si="1"/>
        <v>59</v>
      </c>
      <c r="B62" s="12">
        <v>3.2200000000000002E-3</v>
      </c>
    </row>
    <row r="63" spans="1:2">
      <c r="A63" s="1">
        <f t="shared" si="1"/>
        <v>60</v>
      </c>
      <c r="B63" s="12">
        <v>3.7299999999999998E-3</v>
      </c>
    </row>
    <row r="64" spans="1:2">
      <c r="A64" s="1">
        <f t="shared" si="1"/>
        <v>61</v>
      </c>
      <c r="B64" s="12">
        <v>4.2700000000000004E-3</v>
      </c>
    </row>
    <row r="65" spans="1:2">
      <c r="A65" s="1">
        <f t="shared" si="1"/>
        <v>62</v>
      </c>
      <c r="B65" s="12">
        <v>5.0400000000000002E-3</v>
      </c>
    </row>
    <row r="66" spans="1:2">
      <c r="A66" s="1">
        <f t="shared" si="1"/>
        <v>63</v>
      </c>
      <c r="B66" s="12">
        <v>5.8199999999999997E-3</v>
      </c>
    </row>
    <row r="67" spans="1:2">
      <c r="A67" s="1">
        <f t="shared" si="1"/>
        <v>64</v>
      </c>
      <c r="B67" s="12">
        <v>6.45E-3</v>
      </c>
    </row>
    <row r="68" spans="1:2">
      <c r="A68" s="1">
        <f t="shared" ref="A68:A99" si="2">A67+1</f>
        <v>65</v>
      </c>
      <c r="B68" s="12">
        <v>7.2899999999999996E-3</v>
      </c>
    </row>
    <row r="69" spans="1:2">
      <c r="A69" s="1">
        <f t="shared" si="2"/>
        <v>66</v>
      </c>
      <c r="B69" s="12">
        <v>8.1899999999999994E-3</v>
      </c>
    </row>
    <row r="70" spans="1:2">
      <c r="A70" s="1">
        <f t="shared" si="2"/>
        <v>67</v>
      </c>
      <c r="B70" s="12">
        <v>9.0600000000000003E-3</v>
      </c>
    </row>
    <row r="71" spans="1:2">
      <c r="A71" s="1">
        <f t="shared" si="2"/>
        <v>68</v>
      </c>
      <c r="B71" s="12">
        <v>1.001E-2</v>
      </c>
    </row>
    <row r="72" spans="1:2">
      <c r="A72" s="1">
        <f t="shared" si="2"/>
        <v>69</v>
      </c>
      <c r="B72" s="12">
        <v>1.108E-2</v>
      </c>
    </row>
    <row r="73" spans="1:2">
      <c r="A73" s="1">
        <f t="shared" si="2"/>
        <v>70</v>
      </c>
      <c r="B73" s="12">
        <v>1.2319999999999999E-2</v>
      </c>
    </row>
    <row r="74" spans="1:2">
      <c r="A74" s="1">
        <f t="shared" si="2"/>
        <v>71</v>
      </c>
      <c r="B74" s="12">
        <v>1.374E-2</v>
      </c>
    </row>
    <row r="75" spans="1:2">
      <c r="A75" s="1">
        <f t="shared" si="2"/>
        <v>72</v>
      </c>
      <c r="B75" s="12">
        <v>1.5350000000000001E-2</v>
      </c>
    </row>
    <row r="76" spans="1:2">
      <c r="A76" s="1">
        <f t="shared" si="2"/>
        <v>73</v>
      </c>
      <c r="B76" s="12">
        <v>1.7170000000000001E-2</v>
      </c>
    </row>
    <row r="77" spans="1:2">
      <c r="A77" s="1">
        <f t="shared" si="2"/>
        <v>74</v>
      </c>
      <c r="B77" s="12">
        <v>1.9279999999999999E-2</v>
      </c>
    </row>
    <row r="78" spans="1:2">
      <c r="A78" s="1">
        <f t="shared" si="2"/>
        <v>75</v>
      </c>
      <c r="B78" s="12">
        <v>2.1700000000000001E-2</v>
      </c>
    </row>
    <row r="79" spans="1:2">
      <c r="A79" s="1">
        <f t="shared" si="2"/>
        <v>76</v>
      </c>
      <c r="B79" s="12">
        <v>2.4469999999999999E-2</v>
      </c>
    </row>
    <row r="80" spans="1:2">
      <c r="A80" s="1">
        <f t="shared" si="2"/>
        <v>77</v>
      </c>
      <c r="B80" s="12">
        <v>2.7609999999999999E-2</v>
      </c>
    </row>
    <row r="81" spans="1:2">
      <c r="A81" s="1">
        <f t="shared" si="2"/>
        <v>78</v>
      </c>
      <c r="B81" s="12">
        <v>3.1199999999999999E-2</v>
      </c>
    </row>
    <row r="82" spans="1:2">
      <c r="A82" s="1">
        <f t="shared" si="2"/>
        <v>79</v>
      </c>
      <c r="B82" s="12">
        <v>3.5279999999999999E-2</v>
      </c>
    </row>
    <row r="83" spans="1:2">
      <c r="A83" s="1">
        <f t="shared" si="2"/>
        <v>80</v>
      </c>
      <c r="B83" s="12">
        <v>4.0149999999999998E-2</v>
      </c>
    </row>
    <row r="84" spans="1:2">
      <c r="A84" s="1">
        <f t="shared" si="2"/>
        <v>81</v>
      </c>
      <c r="B84" s="12">
        <v>4.512E-2</v>
      </c>
    </row>
    <row r="85" spans="1:2">
      <c r="A85" s="1">
        <f t="shared" si="2"/>
        <v>82</v>
      </c>
      <c r="B85" s="12">
        <v>5.0700000000000002E-2</v>
      </c>
    </row>
    <row r="86" spans="1:2">
      <c r="A86" s="1">
        <f t="shared" si="2"/>
        <v>83</v>
      </c>
      <c r="B86" s="12">
        <v>5.697E-2</v>
      </c>
    </row>
    <row r="87" spans="1:2">
      <c r="A87" s="1">
        <f t="shared" si="2"/>
        <v>84</v>
      </c>
      <c r="B87" s="12">
        <v>6.4070000000000002E-2</v>
      </c>
    </row>
    <row r="88" spans="1:2">
      <c r="A88" s="1">
        <f t="shared" si="2"/>
        <v>85</v>
      </c>
      <c r="B88" s="12">
        <v>7.2160000000000002E-2</v>
      </c>
    </row>
    <row r="89" spans="1:2">
      <c r="A89" s="1">
        <f t="shared" si="2"/>
        <v>86</v>
      </c>
      <c r="B89" s="12">
        <v>8.1390000000000004E-2</v>
      </c>
    </row>
    <row r="90" spans="1:2">
      <c r="A90" s="1">
        <f t="shared" si="2"/>
        <v>87</v>
      </c>
      <c r="B90" s="12">
        <v>9.1819999999999999E-2</v>
      </c>
    </row>
    <row r="91" spans="1:2">
      <c r="A91" s="1">
        <f t="shared" si="2"/>
        <v>88</v>
      </c>
      <c r="B91" s="12">
        <v>0.10363</v>
      </c>
    </row>
    <row r="92" spans="1:2">
      <c r="A92" s="1">
        <f t="shared" si="2"/>
        <v>89</v>
      </c>
      <c r="B92" s="12">
        <v>0.11672</v>
      </c>
    </row>
    <row r="93" spans="1:2">
      <c r="A93" s="1">
        <f t="shared" si="2"/>
        <v>90</v>
      </c>
      <c r="B93" s="12">
        <v>0.13111999999999999</v>
      </c>
    </row>
    <row r="94" spans="1:2">
      <c r="A94" s="1">
        <f t="shared" si="2"/>
        <v>91</v>
      </c>
      <c r="B94" s="12">
        <v>0.14616999999999999</v>
      </c>
    </row>
    <row r="95" spans="1:2">
      <c r="A95" s="1">
        <f t="shared" si="2"/>
        <v>92</v>
      </c>
      <c r="B95" s="12">
        <v>0.16170000000000001</v>
      </c>
    </row>
    <row r="96" spans="1:2">
      <c r="A96" s="1">
        <f t="shared" si="2"/>
        <v>93</v>
      </c>
      <c r="B96" s="12">
        <v>0.17766999999999999</v>
      </c>
    </row>
    <row r="97" spans="1:2">
      <c r="A97" s="1">
        <f t="shared" si="2"/>
        <v>94</v>
      </c>
      <c r="B97" s="12">
        <v>0.19383</v>
      </c>
    </row>
    <row r="98" spans="1:2">
      <c r="A98" s="1">
        <f t="shared" si="2"/>
        <v>95</v>
      </c>
      <c r="B98" s="12">
        <v>0.21015</v>
      </c>
    </row>
    <row r="99" spans="1:2">
      <c r="A99" s="1">
        <f t="shared" si="2"/>
        <v>96</v>
      </c>
      <c r="B99" s="12">
        <v>0.22749</v>
      </c>
    </row>
    <row r="100" spans="1:2">
      <c r="A100" s="1">
        <f t="shared" ref="A100:A123" si="3">A99+1</f>
        <v>97</v>
      </c>
      <c r="B100" s="12">
        <v>0.24529000000000001</v>
      </c>
    </row>
    <row r="101" spans="1:2">
      <c r="A101" s="1">
        <f t="shared" si="3"/>
        <v>98</v>
      </c>
      <c r="B101" s="12">
        <v>0.26362999999999998</v>
      </c>
    </row>
    <row r="102" spans="1:2">
      <c r="A102" s="1">
        <f t="shared" si="3"/>
        <v>99</v>
      </c>
      <c r="B102" s="12">
        <v>0.28251999999999999</v>
      </c>
    </row>
    <row r="103" spans="1:2">
      <c r="A103" s="1">
        <f t="shared" si="3"/>
        <v>100</v>
      </c>
      <c r="B103" s="12">
        <v>0.30177999999999999</v>
      </c>
    </row>
    <row r="104" spans="1:2">
      <c r="A104" s="1">
        <f t="shared" si="3"/>
        <v>101</v>
      </c>
      <c r="B104" s="12">
        <v>0.32124999999999998</v>
      </c>
    </row>
    <row r="105" spans="1:2">
      <c r="A105" s="1">
        <f t="shared" si="3"/>
        <v>102</v>
      </c>
      <c r="B105" s="12">
        <v>0.34060000000000001</v>
      </c>
    </row>
    <row r="106" spans="1:2">
      <c r="A106" s="1">
        <f t="shared" si="3"/>
        <v>103</v>
      </c>
      <c r="B106" s="12">
        <v>0.35976999999999998</v>
      </c>
    </row>
    <row r="107" spans="1:2">
      <c r="A107" s="1">
        <f t="shared" si="3"/>
        <v>104</v>
      </c>
      <c r="B107" s="12">
        <v>0.37872</v>
      </c>
    </row>
    <row r="108" spans="1:2">
      <c r="A108" s="1">
        <f t="shared" si="3"/>
        <v>105</v>
      </c>
      <c r="B108" s="12">
        <v>0.39715</v>
      </c>
    </row>
    <row r="109" spans="1:2">
      <c r="A109" s="1">
        <f t="shared" si="3"/>
        <v>106</v>
      </c>
      <c r="B109" s="12">
        <v>0.41511999999999999</v>
      </c>
    </row>
    <row r="110" spans="1:2">
      <c r="A110" s="1">
        <f t="shared" si="3"/>
        <v>107</v>
      </c>
      <c r="B110" s="12">
        <v>0.43240000000000001</v>
      </c>
    </row>
    <row r="111" spans="1:2">
      <c r="A111" s="1">
        <f t="shared" si="3"/>
        <v>108</v>
      </c>
      <c r="B111" s="12">
        <v>0.44895000000000002</v>
      </c>
    </row>
    <row r="112" spans="1:2">
      <c r="A112" s="1">
        <f t="shared" si="3"/>
        <v>109</v>
      </c>
      <c r="B112" s="12">
        <v>0.46478999999999998</v>
      </c>
    </row>
    <row r="113" spans="1:2">
      <c r="A113" s="1">
        <f t="shared" si="3"/>
        <v>110</v>
      </c>
      <c r="B113" s="12">
        <v>0.47744999999999999</v>
      </c>
    </row>
    <row r="114" spans="1:2">
      <c r="A114" s="1">
        <f t="shared" si="3"/>
        <v>111</v>
      </c>
      <c r="B114" s="12">
        <v>0.48570999999999998</v>
      </c>
    </row>
    <row r="115" spans="1:2">
      <c r="A115" s="1">
        <f t="shared" si="3"/>
        <v>112</v>
      </c>
      <c r="B115" s="12">
        <v>0.49352000000000001</v>
      </c>
    </row>
    <row r="116" spans="1:2">
      <c r="A116" s="1">
        <f t="shared" si="3"/>
        <v>113</v>
      </c>
      <c r="B116" s="12">
        <v>0.49724000000000002</v>
      </c>
    </row>
    <row r="117" spans="1:2">
      <c r="A117" s="1">
        <f t="shared" si="3"/>
        <v>114</v>
      </c>
      <c r="B117" s="12">
        <v>0.49840000000000001</v>
      </c>
    </row>
    <row r="118" spans="1:2">
      <c r="A118" s="1">
        <f t="shared" si="3"/>
        <v>115</v>
      </c>
      <c r="B118" s="12">
        <v>0.49952999999999997</v>
      </c>
    </row>
    <row r="119" spans="1:2">
      <c r="A119" s="1">
        <f t="shared" si="3"/>
        <v>116</v>
      </c>
      <c r="B119" s="12">
        <v>0.49975000000000003</v>
      </c>
    </row>
    <row r="120" spans="1:2">
      <c r="A120" s="1">
        <f t="shared" si="3"/>
        <v>117</v>
      </c>
      <c r="B120" s="12">
        <v>0.49987999999999999</v>
      </c>
    </row>
    <row r="121" spans="1:2">
      <c r="A121" s="1">
        <f t="shared" si="3"/>
        <v>118</v>
      </c>
      <c r="B121" s="12">
        <v>0.49995000000000001</v>
      </c>
    </row>
    <row r="122" spans="1:2">
      <c r="A122" s="1">
        <f t="shared" si="3"/>
        <v>119</v>
      </c>
      <c r="B122" s="12">
        <v>0.5</v>
      </c>
    </row>
    <row r="123" spans="1:2">
      <c r="A123" s="1">
        <f t="shared" si="3"/>
        <v>120</v>
      </c>
      <c r="B123" s="12"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Single Life</vt:lpstr>
      <vt:lpstr>Mortality</vt:lpstr>
      <vt:lpstr>Mort_Age_Range</vt:lpstr>
      <vt:lpstr>Mort_Start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Young</dc:creator>
  <cp:lastModifiedBy>John Young</cp:lastModifiedBy>
  <dcterms:created xsi:type="dcterms:W3CDTF">2026-06-21T02:41:17Z</dcterms:created>
  <dcterms:modified xsi:type="dcterms:W3CDTF">2026-06-26T13:43:56Z</dcterms:modified>
</cp:coreProperties>
</file>